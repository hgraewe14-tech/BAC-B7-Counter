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59d733e36943038/Desktop/code/"/>
    </mc:Choice>
  </mc:AlternateContent>
  <xr:revisionPtr revIDLastSave="151" documentId="11_4A8F5C8B1A31E83327A3AD80C6143643AA292AFB" xr6:coauthVersionLast="47" xr6:coauthVersionMax="47" xr10:uidLastSave="{AABC4E03-951A-4ED0-9EF8-A7885319B608}"/>
  <bookViews>
    <workbookView xWindow="-120" yWindow="-120" windowWidth="38640" windowHeight="15720" xr2:uid="{00000000-000D-0000-FFFF-FFFF00000000}"/>
  </bookViews>
  <sheets>
    <sheet name="Hand Log" sheetId="1" r:id="rId1"/>
    <sheet name="Dashboard" sheetId="2" r:id="rId2"/>
    <sheet name="Remaining Cards" sheetId="3" r:id="rId3"/>
    <sheet name="Rules &amp; Notes" sheetId="4" r:id="rId4"/>
    <sheet name="Blazing 7 Odd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5" l="1"/>
  <c r="B4" i="4"/>
  <c r="B5" i="2" s="1"/>
  <c r="C19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H54" i="1"/>
  <c r="J54" i="1" s="1"/>
  <c r="C54" i="1"/>
  <c r="H53" i="1"/>
  <c r="J53" i="1" s="1"/>
  <c r="C53" i="1"/>
  <c r="H52" i="1"/>
  <c r="J52" i="1" s="1"/>
  <c r="C52" i="1"/>
  <c r="H51" i="1"/>
  <c r="J51" i="1" s="1"/>
  <c r="C51" i="1"/>
  <c r="H50" i="1"/>
  <c r="J50" i="1" s="1"/>
  <c r="C50" i="1"/>
  <c r="H49" i="1"/>
  <c r="J49" i="1" s="1"/>
  <c r="C49" i="1"/>
  <c r="H48" i="1"/>
  <c r="J48" i="1" s="1"/>
  <c r="C48" i="1"/>
  <c r="H47" i="1"/>
  <c r="J47" i="1" s="1"/>
  <c r="C47" i="1"/>
  <c r="H46" i="1"/>
  <c r="J46" i="1" s="1"/>
  <c r="C46" i="1"/>
  <c r="AC45" i="1"/>
  <c r="AA45" i="1"/>
  <c r="AB45" i="1" s="1"/>
  <c r="Z45" i="1"/>
  <c r="Y45" i="1"/>
  <c r="X45" i="1"/>
  <c r="H45" i="1"/>
  <c r="J45" i="1" s="1"/>
  <c r="G45" i="1"/>
  <c r="F45" i="1"/>
  <c r="E45" i="1"/>
  <c r="D45" i="1"/>
  <c r="C45" i="1"/>
  <c r="H44" i="1"/>
  <c r="J44" i="1" s="1"/>
  <c r="C44" i="1"/>
  <c r="H43" i="1"/>
  <c r="J43" i="1" s="1"/>
  <c r="C43" i="1"/>
  <c r="H42" i="1"/>
  <c r="J42" i="1" s="1"/>
  <c r="C42" i="1"/>
  <c r="J41" i="1"/>
  <c r="H41" i="1"/>
  <c r="C41" i="1"/>
  <c r="H40" i="1"/>
  <c r="J40" i="1" s="1"/>
  <c r="C40" i="1"/>
  <c r="H39" i="1"/>
  <c r="J39" i="1" s="1"/>
  <c r="C39" i="1"/>
  <c r="H38" i="1"/>
  <c r="J38" i="1" s="1"/>
  <c r="C38" i="1"/>
  <c r="AC37" i="1"/>
  <c r="H37" i="1"/>
  <c r="J37" i="1" s="1"/>
  <c r="C37" i="1"/>
  <c r="H36" i="1"/>
  <c r="J36" i="1" s="1"/>
  <c r="C36" i="1"/>
  <c r="H35" i="1"/>
  <c r="J35" i="1" s="1"/>
  <c r="C35" i="1"/>
  <c r="H34" i="1"/>
  <c r="J34" i="1" s="1"/>
  <c r="C34" i="1"/>
  <c r="H33" i="1"/>
  <c r="J33" i="1" s="1"/>
  <c r="C33" i="1"/>
  <c r="H32" i="1"/>
  <c r="J32" i="1" s="1"/>
  <c r="C32" i="1"/>
  <c r="H31" i="1"/>
  <c r="J31" i="1" s="1"/>
  <c r="C31" i="1"/>
  <c r="H30" i="1"/>
  <c r="J30" i="1" s="1"/>
  <c r="C30" i="1"/>
  <c r="H29" i="1"/>
  <c r="J29" i="1" s="1"/>
  <c r="C29" i="1"/>
  <c r="H28" i="1"/>
  <c r="J28" i="1" s="1"/>
  <c r="C28" i="1"/>
  <c r="H27" i="1"/>
  <c r="J27" i="1" s="1"/>
  <c r="C27" i="1"/>
  <c r="H26" i="1"/>
  <c r="J26" i="1" s="1"/>
  <c r="C26" i="1"/>
  <c r="H25" i="1"/>
  <c r="J25" i="1" s="1"/>
  <c r="C25" i="1"/>
  <c r="H24" i="1"/>
  <c r="J24" i="1" s="1"/>
  <c r="C24" i="1"/>
  <c r="H23" i="1"/>
  <c r="J23" i="1" s="1"/>
  <c r="C23" i="1"/>
  <c r="H22" i="1"/>
  <c r="J22" i="1" s="1"/>
  <c r="C22" i="1"/>
  <c r="J21" i="1"/>
  <c r="C21" i="1"/>
  <c r="J20" i="1"/>
  <c r="C20" i="1"/>
  <c r="J19" i="1"/>
  <c r="C19" i="1"/>
  <c r="J18" i="1"/>
  <c r="C18" i="1"/>
  <c r="J17" i="1"/>
  <c r="C17" i="1"/>
  <c r="J16" i="1"/>
  <c r="C16" i="1"/>
  <c r="J15" i="1"/>
  <c r="C15" i="1"/>
  <c r="J14" i="1"/>
  <c r="C14" i="1"/>
  <c r="J13" i="1"/>
  <c r="C13" i="1"/>
  <c r="J12" i="1"/>
  <c r="C12" i="1"/>
  <c r="J11" i="1"/>
  <c r="C11" i="1"/>
  <c r="J10" i="1"/>
  <c r="C10" i="1"/>
  <c r="J9" i="1"/>
  <c r="C9" i="1"/>
  <c r="J8" i="1"/>
  <c r="C8" i="1"/>
  <c r="J7" i="1"/>
  <c r="C7" i="1"/>
  <c r="J6" i="1"/>
  <c r="C6" i="1"/>
  <c r="J5" i="1"/>
  <c r="C5" i="1"/>
  <c r="H2" i="1"/>
  <c r="D5" i="5" l="1"/>
  <c r="D7" i="5"/>
  <c r="D6" i="5"/>
  <c r="I17" i="3"/>
  <c r="E17" i="3"/>
  <c r="F17" i="3" s="1"/>
  <c r="G17" i="3"/>
  <c r="I16" i="3"/>
  <c r="G16" i="3"/>
  <c r="E16" i="3"/>
  <c r="F16" i="3" s="1"/>
  <c r="E15" i="3"/>
  <c r="F15" i="3" s="1"/>
  <c r="I15" i="3"/>
  <c r="G15" i="3"/>
  <c r="G14" i="3"/>
  <c r="E14" i="3"/>
  <c r="F14" i="3" s="1"/>
  <c r="I14" i="3"/>
  <c r="G13" i="3"/>
  <c r="E13" i="3"/>
  <c r="F13" i="3" s="1"/>
  <c r="I13" i="3"/>
  <c r="E12" i="3"/>
  <c r="F12" i="3" s="1"/>
  <c r="G12" i="3"/>
  <c r="I12" i="3"/>
  <c r="I11" i="3"/>
  <c r="B11" i="2"/>
  <c r="E11" i="3"/>
  <c r="G11" i="3"/>
  <c r="B21" i="3"/>
  <c r="E10" i="3"/>
  <c r="F10" i="3" s="1"/>
  <c r="G10" i="3"/>
  <c r="I10" i="3"/>
  <c r="I9" i="3"/>
  <c r="G9" i="3"/>
  <c r="E9" i="3"/>
  <c r="F9" i="3" s="1"/>
  <c r="I8" i="3"/>
  <c r="G8" i="3"/>
  <c r="E8" i="3"/>
  <c r="F8" i="3" s="1"/>
  <c r="I7" i="3"/>
  <c r="E7" i="3"/>
  <c r="F7" i="3" s="1"/>
  <c r="G7" i="3"/>
  <c r="I6" i="3"/>
  <c r="G6" i="3"/>
  <c r="E6" i="3"/>
  <c r="F6" i="3" s="1"/>
  <c r="E5" i="3"/>
  <c r="D19" i="3"/>
  <c r="G5" i="3"/>
  <c r="I5" i="3"/>
  <c r="G54" i="1"/>
  <c r="AC54" i="1"/>
  <c r="AA54" i="1"/>
  <c r="AB54" i="1" s="1"/>
  <c r="Z54" i="1"/>
  <c r="Y54" i="1"/>
  <c r="X54" i="1"/>
  <c r="F54" i="1"/>
  <c r="E54" i="1"/>
  <c r="D54" i="1"/>
  <c r="AC53" i="1"/>
  <c r="AA53" i="1"/>
  <c r="AB53" i="1" s="1"/>
  <c r="Z53" i="1"/>
  <c r="Y53" i="1"/>
  <c r="X53" i="1"/>
  <c r="D53" i="1"/>
  <c r="G53" i="1"/>
  <c r="F53" i="1"/>
  <c r="E53" i="1"/>
  <c r="AC52" i="1"/>
  <c r="AA52" i="1"/>
  <c r="AB52" i="1" s="1"/>
  <c r="Z52" i="1"/>
  <c r="Y52" i="1"/>
  <c r="X52" i="1"/>
  <c r="G52" i="1"/>
  <c r="F52" i="1"/>
  <c r="E52" i="1"/>
  <c r="D52" i="1"/>
  <c r="Z51" i="1"/>
  <c r="Y51" i="1"/>
  <c r="X51" i="1"/>
  <c r="G51" i="1"/>
  <c r="F51" i="1"/>
  <c r="E51" i="1"/>
  <c r="D51" i="1"/>
  <c r="AC51" i="1"/>
  <c r="AA51" i="1"/>
  <c r="AB51" i="1" s="1"/>
  <c r="Z50" i="1"/>
  <c r="Y50" i="1"/>
  <c r="X50" i="1"/>
  <c r="G50" i="1"/>
  <c r="F50" i="1"/>
  <c r="E50" i="1"/>
  <c r="D50" i="1"/>
  <c r="AC50" i="1"/>
  <c r="AA50" i="1"/>
  <c r="AB50" i="1" s="1"/>
  <c r="AC49" i="1"/>
  <c r="AA49" i="1"/>
  <c r="AB49" i="1" s="1"/>
  <c r="Z49" i="1"/>
  <c r="X49" i="1"/>
  <c r="Y49" i="1"/>
  <c r="D49" i="1"/>
  <c r="E49" i="1"/>
  <c r="F49" i="1"/>
  <c r="G49" i="1"/>
  <c r="Z48" i="1"/>
  <c r="AA48" i="1"/>
  <c r="AB48" i="1" s="1"/>
  <c r="AC48" i="1"/>
  <c r="X48" i="1"/>
  <c r="G48" i="1"/>
  <c r="F48" i="1"/>
  <c r="E48" i="1"/>
  <c r="D48" i="1"/>
  <c r="Y48" i="1"/>
  <c r="D47" i="1"/>
  <c r="E47" i="1"/>
  <c r="F47" i="1"/>
  <c r="G47" i="1"/>
  <c r="X47" i="1"/>
  <c r="Y47" i="1"/>
  <c r="Z47" i="1"/>
  <c r="AA47" i="1"/>
  <c r="AB47" i="1" s="1"/>
  <c r="AC47" i="1"/>
  <c r="AA46" i="1"/>
  <c r="AB46" i="1" s="1"/>
  <c r="AC46" i="1"/>
  <c r="G46" i="1"/>
  <c r="X46" i="1"/>
  <c r="F46" i="1"/>
  <c r="E46" i="1"/>
  <c r="D46" i="1"/>
  <c r="Y46" i="1"/>
  <c r="Z46" i="1"/>
  <c r="E44" i="1"/>
  <c r="D44" i="1"/>
  <c r="AC44" i="1"/>
  <c r="AA44" i="1"/>
  <c r="AB44" i="1" s="1"/>
  <c r="Z44" i="1"/>
  <c r="Y44" i="1"/>
  <c r="X44" i="1"/>
  <c r="G44" i="1"/>
  <c r="F44" i="1"/>
  <c r="F43" i="1"/>
  <c r="AC43" i="1"/>
  <c r="D43" i="1"/>
  <c r="E43" i="1"/>
  <c r="X43" i="1"/>
  <c r="G43" i="1"/>
  <c r="AA43" i="1"/>
  <c r="AB43" i="1" s="1"/>
  <c r="Z43" i="1"/>
  <c r="Y43" i="1"/>
  <c r="X42" i="1"/>
  <c r="Y42" i="1"/>
  <c r="Z42" i="1"/>
  <c r="AA42" i="1"/>
  <c r="AB42" i="1" s="1"/>
  <c r="AC42" i="1"/>
  <c r="D42" i="1"/>
  <c r="G42" i="1"/>
  <c r="F42" i="1"/>
  <c r="E42" i="1"/>
  <c r="F41" i="1"/>
  <c r="E41" i="1"/>
  <c r="D41" i="1"/>
  <c r="G41" i="1"/>
  <c r="AC41" i="1"/>
  <c r="AA41" i="1"/>
  <c r="AB41" i="1" s="1"/>
  <c r="Z41" i="1"/>
  <c r="Y41" i="1"/>
  <c r="X41" i="1"/>
  <c r="AC40" i="1"/>
  <c r="D40" i="1"/>
  <c r="E40" i="1"/>
  <c r="F40" i="1"/>
  <c r="X40" i="1"/>
  <c r="Y40" i="1"/>
  <c r="Z40" i="1"/>
  <c r="AA40" i="1"/>
  <c r="AB40" i="1" s="1"/>
  <c r="G40" i="1"/>
  <c r="AA39" i="1"/>
  <c r="AB39" i="1" s="1"/>
  <c r="Z39" i="1"/>
  <c r="Y39" i="1"/>
  <c r="X39" i="1"/>
  <c r="G39" i="1"/>
  <c r="F39" i="1"/>
  <c r="E39" i="1"/>
  <c r="D39" i="1"/>
  <c r="AC39" i="1"/>
  <c r="Z38" i="1"/>
  <c r="D38" i="1"/>
  <c r="E38" i="1"/>
  <c r="F38" i="1"/>
  <c r="G38" i="1"/>
  <c r="X38" i="1"/>
  <c r="Y38" i="1"/>
  <c r="AC38" i="1"/>
  <c r="AA38" i="1"/>
  <c r="AB38" i="1" s="1"/>
  <c r="X37" i="1"/>
  <c r="D37" i="1"/>
  <c r="E37" i="1"/>
  <c r="F37" i="1"/>
  <c r="Z37" i="1"/>
  <c r="G37" i="1"/>
  <c r="Y37" i="1"/>
  <c r="AA37" i="1"/>
  <c r="AB37" i="1" s="1"/>
  <c r="D36" i="1"/>
  <c r="E36" i="1"/>
  <c r="F36" i="1"/>
  <c r="G36" i="1"/>
  <c r="AC36" i="1"/>
  <c r="X36" i="1"/>
  <c r="Y36" i="1"/>
  <c r="Z36" i="1"/>
  <c r="AA36" i="1"/>
  <c r="AB36" i="1" s="1"/>
  <c r="AC35" i="1"/>
  <c r="AA35" i="1"/>
  <c r="AB35" i="1" s="1"/>
  <c r="Z35" i="1"/>
  <c r="Y35" i="1"/>
  <c r="X35" i="1"/>
  <c r="G35" i="1"/>
  <c r="F35" i="1"/>
  <c r="E35" i="1"/>
  <c r="D35" i="1"/>
  <c r="F34" i="1"/>
  <c r="D34" i="1"/>
  <c r="G34" i="1"/>
  <c r="X34" i="1"/>
  <c r="Y34" i="1"/>
  <c r="Z34" i="1"/>
  <c r="E34" i="1"/>
  <c r="AA34" i="1"/>
  <c r="AB34" i="1" s="1"/>
  <c r="AC34" i="1"/>
  <c r="X33" i="1"/>
  <c r="G33" i="1"/>
  <c r="AC33" i="1"/>
  <c r="F33" i="1"/>
  <c r="E33" i="1"/>
  <c r="AA33" i="1"/>
  <c r="AB33" i="1" s="1"/>
  <c r="Z33" i="1"/>
  <c r="D33" i="1"/>
  <c r="Y33" i="1"/>
  <c r="AA32" i="1"/>
  <c r="AB32" i="1" s="1"/>
  <c r="Z32" i="1"/>
  <c r="Y32" i="1"/>
  <c r="X32" i="1"/>
  <c r="D32" i="1"/>
  <c r="G32" i="1"/>
  <c r="E32" i="1"/>
  <c r="AC32" i="1"/>
  <c r="F32" i="1"/>
  <c r="E31" i="1"/>
  <c r="F31" i="1"/>
  <c r="G31" i="1"/>
  <c r="X31" i="1"/>
  <c r="D31" i="1"/>
  <c r="AC31" i="1"/>
  <c r="Y31" i="1"/>
  <c r="Z31" i="1"/>
  <c r="AA31" i="1"/>
  <c r="AB31" i="1" s="1"/>
  <c r="AC30" i="1"/>
  <c r="D30" i="1"/>
  <c r="E30" i="1"/>
  <c r="F30" i="1"/>
  <c r="G30" i="1"/>
  <c r="Z30" i="1"/>
  <c r="Y30" i="1"/>
  <c r="X30" i="1"/>
  <c r="AA30" i="1"/>
  <c r="AB30" i="1" s="1"/>
  <c r="Y29" i="1"/>
  <c r="Z29" i="1"/>
  <c r="AA29" i="1"/>
  <c r="AB29" i="1" s="1"/>
  <c r="AC29" i="1"/>
  <c r="G29" i="1"/>
  <c r="D29" i="1"/>
  <c r="E29" i="1"/>
  <c r="F29" i="1"/>
  <c r="X29" i="1"/>
  <c r="X28" i="1"/>
  <c r="G28" i="1"/>
  <c r="F28" i="1"/>
  <c r="E28" i="1"/>
  <c r="AC28" i="1"/>
  <c r="Y28" i="1"/>
  <c r="Z28" i="1"/>
  <c r="D28" i="1"/>
  <c r="AA28" i="1"/>
  <c r="AB28" i="1" s="1"/>
  <c r="E27" i="1"/>
  <c r="D27" i="1"/>
  <c r="Y27" i="1"/>
  <c r="Y26" i="1"/>
  <c r="E26" i="1"/>
  <c r="D26" i="1"/>
  <c r="E25" i="1"/>
  <c r="Y25" i="1"/>
  <c r="D25" i="1"/>
  <c r="Y24" i="1"/>
  <c r="E24" i="1"/>
  <c r="D24" i="1"/>
  <c r="D23" i="1"/>
  <c r="E23" i="1"/>
  <c r="Y23" i="1"/>
  <c r="Y22" i="1"/>
  <c r="D22" i="1"/>
  <c r="E22" i="1"/>
  <c r="E21" i="1"/>
  <c r="D21" i="1"/>
  <c r="Y21" i="1"/>
  <c r="E20" i="1"/>
  <c r="Y20" i="1"/>
  <c r="D20" i="1"/>
  <c r="E19" i="1"/>
  <c r="D19" i="1"/>
  <c r="Y19" i="1"/>
  <c r="E18" i="1"/>
  <c r="Y18" i="1"/>
  <c r="D18" i="1"/>
  <c r="AA18" i="1" s="1"/>
  <c r="Y17" i="1"/>
  <c r="E17" i="1"/>
  <c r="D17" i="1"/>
  <c r="AA17" i="1" s="1"/>
  <c r="D16" i="1"/>
  <c r="Y16" i="1"/>
  <c r="Z16" i="1" s="1"/>
  <c r="E16" i="1"/>
  <c r="Y15" i="1"/>
  <c r="E15" i="1"/>
  <c r="D15" i="1"/>
  <c r="D14" i="1"/>
  <c r="X14" i="1" s="1"/>
  <c r="Y14" i="1"/>
  <c r="AA14" i="1"/>
  <c r="E14" i="1"/>
  <c r="E13" i="1"/>
  <c r="Y13" i="1"/>
  <c r="Z13" i="1" s="1"/>
  <c r="D13" i="1"/>
  <c r="E12" i="1"/>
  <c r="Y12" i="1"/>
  <c r="D12" i="1"/>
  <c r="E11" i="1"/>
  <c r="D11" i="1"/>
  <c r="Y11" i="1"/>
  <c r="Y10" i="1"/>
  <c r="E10" i="1"/>
  <c r="D10" i="1"/>
  <c r="Y9" i="1"/>
  <c r="D9" i="1"/>
  <c r="Z9" i="1"/>
  <c r="E9" i="1"/>
  <c r="D8" i="1"/>
  <c r="Y8" i="1"/>
  <c r="Z8" i="1" s="1"/>
  <c r="F8" i="1"/>
  <c r="G8" i="1" s="1"/>
  <c r="E8" i="1"/>
  <c r="E7" i="1"/>
  <c r="Y7" i="1"/>
  <c r="Z7" i="1" s="1"/>
  <c r="D7" i="1"/>
  <c r="F7" i="1"/>
  <c r="AA7" i="1"/>
  <c r="E6" i="1"/>
  <c r="Y6" i="1"/>
  <c r="D6" i="1"/>
  <c r="AA6" i="1" s="1"/>
  <c r="B6" i="2"/>
  <c r="B7" i="2" s="1"/>
  <c r="B8" i="2" s="1"/>
  <c r="Y5" i="1"/>
  <c r="Z5" i="1" s="1"/>
  <c r="D5" i="1"/>
  <c r="E5" i="1"/>
  <c r="F5" i="1" s="1"/>
  <c r="Z6" i="1" l="1"/>
  <c r="AB6" i="1" s="1"/>
  <c r="F6" i="1"/>
  <c r="Z11" i="1"/>
  <c r="Z10" i="1"/>
  <c r="F9" i="1"/>
  <c r="F10" i="1"/>
  <c r="Z12" i="1"/>
  <c r="F11" i="1"/>
  <c r="F12" i="1"/>
  <c r="F13" i="1"/>
  <c r="F14" i="1"/>
  <c r="G14" i="1" s="1"/>
  <c r="F15" i="1"/>
  <c r="G15" i="1" s="1"/>
  <c r="Z14" i="1"/>
  <c r="AB14" i="1" s="1"/>
  <c r="AC14" i="1" s="1"/>
  <c r="Z15" i="1"/>
  <c r="F16" i="1"/>
  <c r="G16" i="1" s="1"/>
  <c r="X16" i="1"/>
  <c r="AA16" i="1"/>
  <c r="AB16" i="1" s="1"/>
  <c r="AC16" i="1" s="1"/>
  <c r="AA15" i="1"/>
  <c r="AB15" i="1" s="1"/>
  <c r="X15" i="1"/>
  <c r="Z17" i="1"/>
  <c r="AB17" i="1" s="1"/>
  <c r="Z18" i="1"/>
  <c r="F17" i="1"/>
  <c r="F18" i="1"/>
  <c r="G18" i="1" s="1"/>
  <c r="Z19" i="1"/>
  <c r="AB18" i="1"/>
  <c r="Z20" i="1"/>
  <c r="AA20" i="1"/>
  <c r="AB20" i="1" s="1"/>
  <c r="AC20" i="1" s="1"/>
  <c r="X20" i="1"/>
  <c r="F20" i="1"/>
  <c r="F19" i="1"/>
  <c r="G19" i="1" s="1"/>
  <c r="X19" i="1"/>
  <c r="AA19" i="1"/>
  <c r="F21" i="1"/>
  <c r="G21" i="1" s="1"/>
  <c r="F23" i="1"/>
  <c r="G23" i="1" s="1"/>
  <c r="F22" i="1"/>
  <c r="Z23" i="1"/>
  <c r="Z21" i="1"/>
  <c r="Z22" i="1"/>
  <c r="Z25" i="1"/>
  <c r="X23" i="1"/>
  <c r="AA23" i="1"/>
  <c r="F25" i="1"/>
  <c r="G25" i="1" s="1"/>
  <c r="Z27" i="1"/>
  <c r="Z26" i="1"/>
  <c r="F26" i="1"/>
  <c r="G26" i="1" s="1"/>
  <c r="F27" i="1"/>
  <c r="G27" i="1" s="1"/>
  <c r="X27" i="1"/>
  <c r="AA27" i="1"/>
  <c r="AB27" i="1" s="1"/>
  <c r="AA26" i="1"/>
  <c r="X26" i="1"/>
  <c r="AA25" i="1"/>
  <c r="AB25" i="1" s="1"/>
  <c r="X25" i="1"/>
  <c r="AC25" i="1" s="1"/>
  <c r="Z24" i="1"/>
  <c r="F24" i="1"/>
  <c r="G24" i="1" s="1"/>
  <c r="AA24" i="1"/>
  <c r="X24" i="1"/>
  <c r="G22" i="1"/>
  <c r="X22" i="1"/>
  <c r="AA22" i="1"/>
  <c r="AB22" i="1" s="1"/>
  <c r="X21" i="1"/>
  <c r="AA21" i="1"/>
  <c r="G20" i="1"/>
  <c r="X18" i="1"/>
  <c r="AC18" i="1" s="1"/>
  <c r="G17" i="1"/>
  <c r="X17" i="1"/>
  <c r="AC17" i="1" s="1"/>
  <c r="G19" i="3"/>
  <c r="B27" i="3"/>
  <c r="G13" i="1"/>
  <c r="X13" i="1"/>
  <c r="AA13" i="1"/>
  <c r="AB13" i="1" s="1"/>
  <c r="G12" i="1"/>
  <c r="X12" i="1"/>
  <c r="AA12" i="1"/>
  <c r="AB12" i="1" s="1"/>
  <c r="X11" i="1"/>
  <c r="AA11" i="1"/>
  <c r="AB11" i="1" s="1"/>
  <c r="G11" i="1"/>
  <c r="G10" i="1"/>
  <c r="X10" i="1"/>
  <c r="AA10" i="1"/>
  <c r="AB10" i="1" s="1"/>
  <c r="G9" i="1"/>
  <c r="X9" i="1"/>
  <c r="AA9" i="1"/>
  <c r="AB9" i="1" s="1"/>
  <c r="AA8" i="1"/>
  <c r="AB8" i="1" s="1"/>
  <c r="X8" i="1"/>
  <c r="AC8" i="1" s="1"/>
  <c r="AB7" i="1"/>
  <c r="G7" i="1"/>
  <c r="X7" i="1"/>
  <c r="G6" i="1"/>
  <c r="X6" i="1"/>
  <c r="AC6" i="1" s="1"/>
  <c r="X5" i="1"/>
  <c r="AA5" i="1"/>
  <c r="AB5" i="1" s="1"/>
  <c r="G5" i="1"/>
  <c r="E5" i="5"/>
  <c r="F5" i="5"/>
  <c r="D8" i="5"/>
  <c r="B11" i="5"/>
  <c r="B13" i="5"/>
  <c r="B18" i="2" s="1"/>
  <c r="B14" i="5"/>
  <c r="E7" i="5"/>
  <c r="F7" i="5"/>
  <c r="E6" i="5"/>
  <c r="F6" i="5"/>
  <c r="B12" i="5"/>
  <c r="B22" i="3"/>
  <c r="B23" i="3" s="1"/>
  <c r="B12" i="2"/>
  <c r="F11" i="3"/>
  <c r="F5" i="3"/>
  <c r="E19" i="3"/>
  <c r="F19" i="3" s="1"/>
  <c r="B24" i="2"/>
  <c r="B25" i="2" s="1"/>
  <c r="B27" i="2" s="1"/>
  <c r="B9" i="2"/>
  <c r="B10" i="2" s="1"/>
  <c r="AC15" i="1" l="1"/>
  <c r="AB19" i="1"/>
  <c r="AC19" i="1" s="1"/>
  <c r="AB23" i="1"/>
  <c r="AC23" i="1" s="1"/>
  <c r="AB21" i="1"/>
  <c r="AC21" i="1" s="1"/>
  <c r="AB26" i="1"/>
  <c r="AC26" i="1" s="1"/>
  <c r="AB24" i="1"/>
  <c r="AC24" i="1" s="1"/>
  <c r="AC27" i="1"/>
  <c r="AC22" i="1"/>
  <c r="AC13" i="1"/>
  <c r="AC7" i="1"/>
  <c r="AC11" i="1"/>
  <c r="AC10" i="1"/>
  <c r="AC12" i="1"/>
  <c r="AC9" i="1"/>
  <c r="AC5" i="1"/>
  <c r="F8" i="5"/>
  <c r="B16" i="5" l="1"/>
  <c r="B22" i="2" s="1"/>
  <c r="B15" i="5"/>
  <c r="B21" i="2" s="1"/>
</calcChain>
</file>

<file path=xl/sharedStrings.xml><?xml version="1.0" encoding="utf-8"?>
<sst xmlns="http://schemas.openxmlformats.org/spreadsheetml/2006/main" count="206" uniqueCount="163">
  <si>
    <t>Players Name</t>
  </si>
  <si>
    <t>AUTOMATIC RANK INPUTS</t>
  </si>
  <si>
    <t>BLAZING 7s COUNT — SEPARATE COUNT SYSTEM</t>
  </si>
  <si>
    <t>Enter qty per rank for each hand; count updates automatically.</t>
  </si>
  <si>
    <t>Published Blazing 7s tags; the +4 flag is a reference trigger, not a guarantee of advantage.</t>
  </si>
  <si>
    <t>Rds</t>
  </si>
  <si>
    <t># Cards</t>
  </si>
  <si>
    <t>Total Cds</t>
  </si>
  <si>
    <t>Count</t>
  </si>
  <si>
    <t>Run Ct</t>
  </si>
  <si>
    <t>True Ct</t>
  </si>
  <si>
    <t>Notes</t>
  </si>
  <si>
    <t>A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</si>
  <si>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</si>
  <si>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</si>
  <si>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</si>
  <si>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</si>
  <si>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</si>
  <si>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</si>
  <si>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</si>
  <si>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</si>
  <si>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</si>
  <si>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J</t>
  </si>
  <si>
    <t>Q</t>
  </si>
  <si>
    <t>K</t>
  </si>
  <si>
    <t>Validation</t>
  </si>
  <si>
    <t>B7 Count Δ</t>
  </si>
  <si>
    <t>B7 Run Ct</t>
  </si>
  <si>
    <t>Decks Rem.</t>
  </si>
  <si>
    <t>B7 True Ct</t>
  </si>
  <si>
    <t>B7 Status</t>
  </si>
  <si>
    <t>Blazing 7s Baccarat Tracker</t>
  </si>
  <si>
    <t>8-deck shoe • Enter rank quantities on Hand Log • Review counts and baseline odds here</t>
  </si>
  <si>
    <t>Metric</t>
  </si>
  <si>
    <t>Current Value</t>
  </si>
  <si>
    <t>Initial cards</t>
  </si>
  <si>
    <t>8 decks × 52 cards</t>
  </si>
  <si>
    <t>Cards logged</t>
  </si>
  <si>
    <t>Total entered rank quantities</t>
  </si>
  <si>
    <t>Cards remaining</t>
  </si>
  <si>
    <t>Initial shoe less cards logged</t>
  </si>
  <si>
    <t>Estimated decks remaining</t>
  </si>
  <si>
    <t>Cards remaining ÷ 52</t>
  </si>
  <si>
    <t>Running count</t>
  </si>
  <si>
    <t>Sum of Count Change across logged hands</t>
  </si>
  <si>
    <t>True count</t>
  </si>
  <si>
    <t>Running count ÷ estimated decks remaining</t>
  </si>
  <si>
    <t>Sevens seen</t>
  </si>
  <si>
    <t>From quantity of rank 7 logged</t>
  </si>
  <si>
    <t>Sevens remaining</t>
  </si>
  <si>
    <t>Out of 32 sevens in the shoe</t>
  </si>
  <si>
    <t>Player/Banker 7 outcomes</t>
  </si>
  <si>
    <t>Not tracked</t>
  </si>
  <si>
    <t>Rank quantities do not record which cards belonged to Player vs Banker.</t>
  </si>
  <si>
    <t>Both 2-card 7s</t>
  </si>
  <si>
    <t>Requires per-side hand card entry to verify exact event.</t>
  </si>
  <si>
    <t>Both 3-card 7s</t>
  </si>
  <si>
    <t>Odds &amp; interpretation</t>
  </si>
  <si>
    <t>Baseline side-bet odds</t>
  </si>
  <si>
    <t>Overall baseline chance ≈1.13% (about 1 in 88.6 hands) using the listed payouts. See Blazing 7 Odds tab.</t>
  </si>
  <si>
    <t>Live conditional odds</t>
  </si>
  <si>
    <t>Not calculated</t>
  </si>
  <si>
    <t>Requires a validated model based on exact remaining cards and baccarat drawing rules.</t>
  </si>
  <si>
    <t>Counting-method caution</t>
  </si>
  <si>
    <t>Descriptive only</t>
  </si>
  <si>
    <t>The custom count does not establish a predictive edge or guarantee profitability.</t>
  </si>
  <si>
    <t>House edge (baseline)</t>
  </si>
  <si>
    <t>Expected long-run loss per unit wager at the reference paytable.</t>
  </si>
  <si>
    <t>Theoretical return (RTP)</t>
  </si>
  <si>
    <t>Average return based on the selected paytable.</t>
  </si>
  <si>
    <t>Blazing 7s Count System (separate from original count)</t>
  </si>
  <si>
    <t>B7 Running Count</t>
  </si>
  <si>
    <t>Running sum using the published Blazing 7s rank tags.</t>
  </si>
  <si>
    <t>B7 True Count</t>
  </si>
  <si>
    <t>B7 running count divided by estimated decks remaining.</t>
  </si>
  <si>
    <t>Reference Trigger</t>
  </si>
  <si>
    <t>Published reference threshold; it is a flag for review, not proof by itself.</t>
  </si>
  <si>
    <t>B7 Count Status</t>
  </si>
  <si>
    <t>Updates as rank quantities are entered on Hand Log.</t>
  </si>
  <si>
    <t>Count Method</t>
  </si>
  <si>
    <t>A=+1, 2=0, 3/4/5=−1, 6=0, 7=−6, 8/9=+2, 10/J/Q/K=+1</t>
  </si>
  <si>
    <t>Separate from the original count values.</t>
  </si>
  <si>
    <t>8-Deck Shoe Composition &amp; Remaining Cards</t>
  </si>
  <si>
    <t>Remaining counts are calculated from the rank quantities entered on the Hand Log.</t>
  </si>
  <si>
    <t>Rank</t>
  </si>
  <si>
    <t>Count Value</t>
  </si>
  <si>
    <t>Initial Count</t>
  </si>
  <si>
    <t>Seen / Logged</t>
  </si>
  <si>
    <t>Remaining</t>
  </si>
  <si>
    <t>Remaining %</t>
  </si>
  <si>
    <t>Seen Count Contribution</t>
  </si>
  <si>
    <t>B7 Count Value</t>
  </si>
  <si>
    <t>B7 Seen Contribution</t>
  </si>
  <si>
    <t>TOTAL</t>
  </si>
  <si>
    <t>Share of sevens remaining</t>
  </si>
  <si>
    <t>Input reminder</t>
  </si>
  <si>
    <t>Use the blue rank inputs on Hand Log; include all cards dealt from the shoe.</t>
  </si>
  <si>
    <t>Data check</t>
  </si>
  <si>
    <t>Each rank starts with 32 cards; total shoe size is 416 cards.</t>
  </si>
  <si>
    <t>Shoe validation</t>
  </si>
  <si>
    <t>Rules, Assumptions &amp; How to Use</t>
  </si>
  <si>
    <t>Decks in shoe</t>
  </si>
  <si>
    <t>Cards per deck</t>
  </si>
  <si>
    <t>Total cards in shoe</t>
  </si>
  <si>
    <t>Count value: A / 2 / 3</t>
  </si>
  <si>
    <t>Count value: 4</t>
  </si>
  <si>
    <t>Count value: 5 / 7 / 8</t>
  </si>
  <si>
    <t>Count value: 6</t>
  </si>
  <si>
    <t>Count value: 9 / 10 / J / Q / K</t>
  </si>
  <si>
    <t>True count formula</t>
  </si>
  <si>
    <t>Bet ramp used on Hand Log</t>
  </si>
  <si>
    <t>Minimum bet below true count +3; maximum bet at true count +3 or higher. Adjust the H-row formulas if your preferred ramp differs.</t>
  </si>
  <si>
    <t>How to enter a hand</t>
  </si>
  <si>
    <t>Starts at 0 and adds the automatically calculated Count Change from every logged hand.</t>
  </si>
  <si>
    <t>416 minus cumulative cards entered. Make sure every card dealt from the shoe is included.</t>
  </si>
  <si>
    <t>Rank validation</t>
  </si>
  <si>
    <t>A standard 8-deck shoe starts with 32 cards of each rank. The validation column warns when totals exceed 32.</t>
  </si>
  <si>
    <t>Per-hand validation</t>
  </si>
  <si>
    <t>The input cells accept integers 0–6 because a baccarat round uses up to six cards across Player and Banker.</t>
  </si>
  <si>
    <t>Baseline Blazing 7s odds</t>
  </si>
  <si>
    <t>About 1.1283% for any qualifying outcome (roughly 1 in 88.6 hands) under the listed paytable. See Blazing 7 Odds tab.</t>
  </si>
  <si>
    <t>Reference house edge / RTP</t>
  </si>
  <si>
    <t>About 7.78% house edge and 92.22% theoretical return for 200:1 on both 3-card 7s and 50:1 on both 2-card 7s.</t>
  </si>
  <si>
    <t>Blazing 7s-specific count system</t>
  </si>
  <si>
    <t>Ace</t>
  </si>
  <si>
    <t>10 / J / Q / K</t>
  </si>
  <si>
    <t>B7 true count formula</t>
  </si>
  <si>
    <t>B7 running count ÷ estimated decks remaining</t>
  </si>
  <si>
    <t>Reference threshold</t>
  </si>
  <si>
    <t>+4 trigger from published Blazing 7s count analysis; a reference flag, not proof or a guarantee.</t>
  </si>
  <si>
    <t>How it works</t>
  </si>
  <si>
    <t>The same rank quantities entered in Hand Log K:W drive both the original count and the separate Blazing 7s count.</t>
  </si>
  <si>
    <t>Blazing 7s Baccarat — Baseline Odds (8-Deck Shoe)</t>
  </si>
  <si>
    <t>Qualifies when Player and Banker both total 7 using the same number of cards. These are baseline full-shoe odds, not live conditional odds.</t>
  </si>
  <si>
    <t>Outcome</t>
  </si>
  <si>
    <t>Net Payout</t>
  </si>
  <si>
    <t>Combinations</t>
  </si>
  <si>
    <t>Probability</t>
  </si>
  <si>
    <t>Approx. 1 in N</t>
  </si>
  <si>
    <t>EV contribution per unit</t>
  </si>
  <si>
    <t>Both Player &amp; Banker total 7 with 3 cards</t>
  </si>
  <si>
    <t>Both Player &amp; Banker total 7 with 2 cards</t>
  </si>
  <si>
    <t>All other outcomes (bet loses)</t>
  </si>
  <si>
    <t>Total / expected net return</t>
  </si>
  <si>
    <t>Key takeaways</t>
  </si>
  <si>
    <t>Chance of 3-card Blazing 7s</t>
  </si>
  <si>
    <t>About 1 in 432.5 hands, on average</t>
  </si>
  <si>
    <t>Chance of 2-card Blazing 7s</t>
  </si>
  <si>
    <t>About 1 in 111.5 hands, on average</t>
  </si>
  <si>
    <t>Chance of any Blazing 7 win</t>
  </si>
  <si>
    <t>Either the qualifying 2-card or 3-card result</t>
  </si>
  <si>
    <t>Approximate frequency of any win</t>
  </si>
  <si>
    <t>A long-run average, not a prediction of the next hand</t>
  </si>
  <si>
    <t>House edge at listed payouts</t>
  </si>
  <si>
    <t>Expected long-run loss per unit bet under the listed payout rules</t>
  </si>
  <si>
    <t>Average return as a percentage of all wagered units</t>
  </si>
  <si>
    <t>Table Min ($)</t>
  </si>
  <si>
    <t>Table Max ($)</t>
  </si>
  <si>
    <t>Table Spread</t>
  </si>
  <si>
    <t>Enter table minimum in D2 and table maximum in F2; H2 shows the table-limit spread. Enter each observed wager in H5:H54; column J shows that wager as a ratio to the table minimum in real time.</t>
  </si>
  <si>
    <t>Bet Amount (Input)</t>
  </si>
  <si>
    <t>Bet Spread vs Min</t>
  </si>
  <si>
    <t>Enter the quantity of each rank in blue cells K:W on the Hand Log row for that round. Leave ranks at zero/blank if none appeared.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</si>
</sst>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%"/>
    <numFmt numFmtId="166" formatCode="0.0000%"/>
    <numFmt numFmtId="167" formatCode="0.0000"/>
    <numFmt numFmtId="168" formatCode="&quot;1 in &quot;0.0"/>
    <numFmt numFmtId="169" formatCode="\$#,##0.00"/>
    <numFmt numFmtId="170" formatCode="0.0&quot;x&quot;"/>
  </numFmts>
  <fonts count="8">
    <font>
      <sz val="11"/>
      <name val="Carlito"/>
    </font>
    <font>
      <sz val="10"/>
      <color rgb="FF000000"/>
      <name val="Arial"/>
    </font>
    <font>
      <b/>
      <sz val="10"/>
      <color rgb="FF000000"/>
      <name val="Arial"/>
    </font>
    <font>
      <i/>
      <sz val="9"/>
      <color rgb="FF333333"/>
      <name val="Arial"/>
    </font>
    <font>
      <b/>
      <sz val="14"/>
      <color rgb="FF000000"/>
      <name val="Arial"/>
    </font>
    <font>
      <i/>
      <sz val="10"/>
      <color rgb="FF333333"/>
      <name val="Arial"/>
    </font>
    <font>
      <b/>
      <sz val="12"/>
      <color rgb="FF000000"/>
      <name val="Arial"/>
    </font>
    <font>
      <i/>
      <sz val="9"/>
      <color rgb="FF666666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CF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 wrapText="1"/>
    </xf>
    <xf numFmtId="0" fontId="2" fillId="3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2" fontId="1" fillId="2" borderId="2" xfId="0" applyNumberFormat="1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10" fontId="1" fillId="2" borderId="2" xfId="0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165" fontId="1" fillId="2" borderId="2" xfId="0" applyNumberFormat="1" applyFont="1" applyFill="1" applyBorder="1" applyAlignment="1">
      <alignment vertical="center"/>
    </xf>
    <xf numFmtId="165" fontId="2" fillId="2" borderId="2" xfId="0" applyNumberFormat="1" applyFont="1" applyFill="1" applyBorder="1" applyAlignment="1">
      <alignment vertical="center"/>
    </xf>
    <xf numFmtId="0" fontId="6" fillId="2" borderId="2" xfId="0" applyFont="1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vertical="center" wrapText="1"/>
    </xf>
    <xf numFmtId="166" fontId="1" fillId="2" borderId="2" xfId="0" applyNumberFormat="1" applyFont="1" applyFill="1" applyBorder="1" applyAlignment="1">
      <alignment vertical="center" wrapText="1"/>
    </xf>
    <xf numFmtId="164" fontId="1" fillId="2" borderId="2" xfId="0" applyNumberFormat="1" applyFont="1" applyFill="1" applyBorder="1" applyAlignment="1">
      <alignment vertical="center" wrapText="1"/>
    </xf>
    <xf numFmtId="167" fontId="1" fillId="2" borderId="2" xfId="0" applyNumberFormat="1" applyFont="1" applyFill="1" applyBorder="1" applyAlignment="1">
      <alignment vertical="center" wrapText="1"/>
    </xf>
    <xf numFmtId="3" fontId="2" fillId="2" borderId="2" xfId="0" applyNumberFormat="1" applyFont="1" applyFill="1" applyBorder="1" applyAlignment="1">
      <alignment vertical="center" wrapText="1"/>
    </xf>
    <xf numFmtId="166" fontId="2" fillId="2" borderId="2" xfId="0" applyNumberFormat="1" applyFont="1" applyFill="1" applyBorder="1" applyAlignment="1">
      <alignment vertical="center" wrapText="1"/>
    </xf>
    <xf numFmtId="167" fontId="2" fillId="2" borderId="2" xfId="0" applyNumberFormat="1" applyFont="1" applyFill="1" applyBorder="1" applyAlignment="1">
      <alignment vertical="center" wrapText="1"/>
    </xf>
    <xf numFmtId="168" fontId="2" fillId="2" borderId="2" xfId="0" applyNumberFormat="1" applyFont="1" applyFill="1" applyBorder="1" applyAlignment="1">
      <alignment vertical="center" wrapText="1"/>
    </xf>
    <xf numFmtId="10" fontId="2" fillId="2" borderId="2" xfId="0" applyNumberFormat="1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169" fontId="1" fillId="5" borderId="1" xfId="0" applyNumberFormat="1" applyFont="1" applyFill="1" applyBorder="1" applyAlignment="1">
      <alignment horizontal="center" vertical="center"/>
    </xf>
    <xf numFmtId="170" fontId="2" fillId="6" borderId="1" xfId="0" applyNumberFormat="1" applyFont="1" applyFill="1" applyBorder="1" applyAlignment="1">
      <alignment horizontal="center" vertical="center"/>
    </xf>
    <xf numFmtId="169" fontId="2" fillId="7" borderId="1" xfId="0" applyNumberFormat="1" applyFont="1" applyFill="1" applyBorder="1" applyAlignment="1">
      <alignment horizontal="center" vertical="center"/>
    </xf>
    <xf numFmtId="0" fontId="1" fillId="8" borderId="0" xfId="0" applyFont="1" applyFill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3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6" fillId="2" borderId="0" xfId="0" applyFont="1" applyFill="1" applyAlignment="1">
      <alignment horizontal="left" vertical="center"/>
    </xf>
    <xf numFmtId="0" fontId="2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3">
    <dxf>
      <font>
        <b/>
        <color rgb="FFC00000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4"/>
  <sheetViews>
    <sheetView tabSelected="1" workbookViewId="0">
      <pane ySplit="4" topLeftCell="A5" activePane="bottomLeft" state="frozen"/>
      <selection pane="bottomLeft" activeCell="L5" sqref="L5"/>
    </sheetView>
  </sheetViews>
  <sheetFormatPr defaultRowHeight="14.25"/>
  <cols>
    <col min="1" max="1" width="6" customWidth="1"/>
    <col min="2" max="2" width="2.5" customWidth="1"/>
    <col min="3" max="8" width="11" customWidth="1"/>
    <col min="9" max="9" width="26" customWidth="1"/>
    <col min="10" max="10" width="18" customWidth="1"/>
    <col min="11" max="23" width="5" customWidth="1"/>
    <col min="24" max="24" width="15" customWidth="1"/>
    <col min="25" max="26" width="13" customWidth="1"/>
    <col min="27" max="28" width="12" customWidth="1"/>
    <col min="29" max="29" width="23" customWidth="1"/>
  </cols>
  <sheetData>
    <row r="1" spans="1:29" ht="18.95" customHeight="1">
      <c r="A1" s="2"/>
      <c r="B1" s="2"/>
      <c r="C1" s="2"/>
      <c r="D1" s="2"/>
      <c r="E1" s="2"/>
      <c r="F1" s="2"/>
      <c r="G1" s="2"/>
      <c r="H1" s="2"/>
      <c r="I1" s="1" t="s">
        <v>0</v>
      </c>
      <c r="J1" s="1"/>
      <c r="K1" s="53" t="s">
        <v>1</v>
      </c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2"/>
      <c r="Y1" s="53" t="s">
        <v>2</v>
      </c>
      <c r="Z1" s="53"/>
      <c r="AA1" s="53"/>
      <c r="AB1" s="53"/>
      <c r="AC1" s="53"/>
    </row>
    <row r="2" spans="1:29" ht="27.95" customHeight="1">
      <c r="A2" s="2"/>
      <c r="B2" s="2"/>
      <c r="C2" s="11" t="s">
        <v>156</v>
      </c>
      <c r="D2" s="45">
        <v>25</v>
      </c>
      <c r="E2" s="11" t="s">
        <v>157</v>
      </c>
      <c r="F2" s="45">
        <v>2000</v>
      </c>
      <c r="G2" s="11" t="s">
        <v>158</v>
      </c>
      <c r="H2" s="44" t="str">
        <f>IF(OR(D2="",F2=""),"Enter table limits",IF(AND(D2&gt;0,F2&gt;=D2),"1-to-"&amp;IF(F2/D2=INT(F2/D2),TEXT(F2/D2,"0"),TEXT(F2/D2,"0.##")),"Check table limits"))</f>
        <v>1-to-80</v>
      </c>
      <c r="I2" s="41"/>
      <c r="J2" s="46"/>
      <c r="K2" s="54" t="s">
        <v>3</v>
      </c>
      <c r="L2" s="54" t="s">
        <v>3</v>
      </c>
      <c r="M2" s="54" t="s">
        <v>3</v>
      </c>
      <c r="N2" s="54" t="s">
        <v>3</v>
      </c>
      <c r="O2" s="54" t="s">
        <v>3</v>
      </c>
      <c r="P2" s="54" t="s">
        <v>3</v>
      </c>
      <c r="Q2" s="54" t="s">
        <v>3</v>
      </c>
      <c r="R2" s="54" t="s">
        <v>3</v>
      </c>
      <c r="S2" s="54" t="s">
        <v>3</v>
      </c>
      <c r="T2" s="54" t="s">
        <v>3</v>
      </c>
      <c r="U2" s="54" t="s">
        <v>3</v>
      </c>
      <c r="V2" s="54" t="s">
        <v>3</v>
      </c>
      <c r="W2" s="54" t="s">
        <v>3</v>
      </c>
      <c r="X2" s="2"/>
      <c r="Y2" s="55" t="s">
        <v>4</v>
      </c>
      <c r="Z2" s="55"/>
      <c r="AA2" s="55"/>
      <c r="AB2" s="55"/>
      <c r="AC2" s="55"/>
    </row>
    <row r="3" spans="1:29" ht="30" customHeight="1">
      <c r="A3" s="2"/>
      <c r="B3" s="2"/>
      <c r="C3" s="56" t="s">
        <v>159</v>
      </c>
      <c r="D3" s="57"/>
      <c r="E3" s="57"/>
      <c r="F3" s="57"/>
      <c r="G3" s="57"/>
      <c r="H3" s="5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0" customHeight="1">
      <c r="A4" s="5" t="s">
        <v>5</v>
      </c>
      <c r="B4" s="5"/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160</v>
      </c>
      <c r="I4" s="47" t="s">
        <v>11</v>
      </c>
      <c r="J4" s="49" t="s">
        <v>161</v>
      </c>
      <c r="K4" s="48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  <c r="V4" s="5" t="s">
        <v>23</v>
      </c>
      <c r="W4" s="5" t="s">
        <v>24</v>
      </c>
      <c r="X4" s="5" t="s">
        <v>25</v>
      </c>
      <c r="Y4" s="5" t="s">
        <v>26</v>
      </c>
      <c r="Z4" s="5" t="s">
        <v>27</v>
      </c>
      <c r="AA4" s="5" t="s">
        <v>28</v>
      </c>
      <c r="AB4" s="5" t="s">
        <v>29</v>
      </c>
      <c r="AC4" s="5" t="s">
        <v>30</v>
      </c>
    </row>
    <row r="5" spans="1:29" ht="18" customHeight="1">
      <c r="A5" s="6">
        <v>1</v>
      </c>
      <c r="B5" s="6"/>
      <c r="C5" s="6" t="str">
        <f t="shared" ref="C5:C36" si="0">IF(SUM(K5:W5)=0,"",SUM(K5:W5))</f>
        <v/>
      </c>
      <c r="D5" s="7" t="str">
        <f>IF(C5="","",SUM($C$5:C5))</f>
        <v/>
      </c>
      <c r="E5" s="7" t="str">
        <f t="shared" ref="E5:E36" si="1">IF(C5="","",K5+L5+M5+2*N5-O5-2*P5-Q5-R5)</f>
        <v/>
      </c>
      <c r="F5" s="7" t="str">
        <f>IF(C5="","",SUM($E$5:E5))</f>
        <v/>
      </c>
      <c r="G5" s="8" t="str">
        <f>IF(C5="","",IF('Rules &amp; Notes'!$B$4-D5&gt;0,F5/(('Rules &amp; Notes'!$B$4-D5)/'Rules &amp; Notes'!$B$3),""))</f>
        <v/>
      </c>
      <c r="H5" s="43"/>
      <c r="I5" s="50"/>
      <c r="J5" s="52" t="str">
        <f t="shared" ref="J5:J36" si="2">IF(H5="","",IF($D$2="","Set table min",IF($D$2&lt;=0,"Check table min",IF(H5&lt;$D$2,"Below table min","1-to-"&amp;IF(H5/$D$2=INT(H5/$D$2),TEXT(H5/$D$2,"0"),TEXT(H5/$D$2,"0.##"))))))</f>
        <v/>
      </c>
      <c r="K5" s="5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6" t="str">
        <f>IF(C5="","",IF(D5&gt;'Rules &amp; Notes'!$B$4,"TOTAL &gt; 416",IF(OR(SUM($K$5:K5)&gt;32,SUM($L$5:L5)&gt;32,SUM($M$5:M5)&gt;32,SUM($N$5:N5)&gt;32,SUM($O$5:O5)&gt;32,SUM($P$5:P5)&gt;32,SUM($Q$5:Q5)&gt;32,SUM($R$5:R5)&gt;32,SUM($S$5:S5)&gt;32,SUM($T$5:T5)&gt;32,SUM($U$5:U5)&gt;32,SUM($V$5:V5)&gt;32,SUM($W$5:W5)&gt;32),"RANK &gt; 32",IF(C5&gt;6,"HAND &gt; 6","OK"))))</f>
        <v/>
      </c>
      <c r="Y5" s="7" t="str">
        <f t="shared" ref="Y5:Y36" si="3">IF(C5="","",K5-M5-N5-O5-6*Q5+2*R5+2*S5+T5+U5+V5+W5)</f>
        <v/>
      </c>
      <c r="Z5" s="7" t="str">
        <f>IF(C5="","",SUM($Y$5:Y5))</f>
        <v/>
      </c>
      <c r="AA5" s="9" t="str">
        <f>IF(C5="","",MAX(0,('Rules &amp; Notes'!$B$4-D5)/'Rules &amp; Notes'!$B$3))</f>
        <v/>
      </c>
      <c r="AB5" s="9" t="str">
        <f t="shared" ref="AB5:AB36" si="4">IF(OR(C5="",AA5=0),"",Z5/AA5)</f>
        <v/>
      </c>
      <c r="AC5" s="10" t="str">
        <f t="shared" ref="AC5:AC36" si="5">IF(C5="","",IF(X5&lt;&gt;"OK","CHECK INPUT",IF(AB5&gt;=4,"AT/ABOVE +4 TRIGGER","Below +4 trigger")))</f>
        <v/>
      </c>
    </row>
    <row r="6" spans="1:29" ht="18" customHeight="1">
      <c r="A6" s="6">
        <v>2</v>
      </c>
      <c r="B6" s="6"/>
      <c r="C6" s="6" t="str">
        <f t="shared" si="0"/>
        <v/>
      </c>
      <c r="D6" s="7" t="str">
        <f>IF(C6="","",SUM($C$5:C6))</f>
        <v/>
      </c>
      <c r="E6" s="7" t="str">
        <f t="shared" si="1"/>
        <v/>
      </c>
      <c r="F6" s="7" t="str">
        <f>IF(C6="","",SUM($E$5:E6))</f>
        <v/>
      </c>
      <c r="G6" s="8" t="str">
        <f>IF(C6="","",IF('Rules &amp; Notes'!$B$4-D6&gt;0,F6/(('Rules &amp; Notes'!$B$4-D6)/'Rules &amp; Notes'!$B$3),""))</f>
        <v/>
      </c>
      <c r="H6" s="43"/>
      <c r="I6" s="50"/>
      <c r="J6" s="52" t="str">
        <f t="shared" si="2"/>
        <v/>
      </c>
      <c r="K6" s="5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6" t="str">
        <f>IF(C6="","",IF(D6&gt;'Rules &amp; Notes'!$B$4,"TOTAL &gt; 416",IF(OR(SUM($K$5:K6)&gt;32,SUM($L$5:L6)&gt;32,SUM($M$5:M6)&gt;32,SUM($N$5:N6)&gt;32,SUM($O$5:O6)&gt;32,SUM($P$5:P6)&gt;32,SUM($Q$5:Q6)&gt;32,SUM($R$5:R6)&gt;32,SUM($S$5:S6)&gt;32,SUM($T$5:T6)&gt;32,SUM($U$5:U6)&gt;32,SUM($V$5:V6)&gt;32,SUM($W$5:W6)&gt;32),"RANK &gt; 32",IF(C6&gt;6,"HAND &gt; 6","OK"))))</f>
        <v/>
      </c>
      <c r="Y6" s="7" t="str">
        <f t="shared" si="3"/>
        <v/>
      </c>
      <c r="Z6" s="7" t="str">
        <f>IF(C6="","",SUM($Y$5:Y6))</f>
        <v/>
      </c>
      <c r="AA6" s="9" t="str">
        <f>IF(C6="","",MAX(0,('Rules &amp; Notes'!$B$4-D6)/'Rules &amp; Notes'!$B$3))</f>
        <v/>
      </c>
      <c r="AB6" s="9" t="str">
        <f t="shared" si="4"/>
        <v/>
      </c>
      <c r="AC6" s="10" t="str">
        <f t="shared" si="5"/>
        <v/>
      </c>
    </row>
    <row r="7" spans="1:29" ht="18" customHeight="1">
      <c r="A7" s="6">
        <v>3</v>
      </c>
      <c r="B7" s="6"/>
      <c r="C7" s="6" t="str">
        <f t="shared" si="0"/>
        <v/>
      </c>
      <c r="D7" s="7" t="str">
        <f>IF(C7="","",SUM($C$5:C7))</f>
        <v/>
      </c>
      <c r="E7" s="7" t="str">
        <f t="shared" si="1"/>
        <v/>
      </c>
      <c r="F7" s="7" t="str">
        <f>IF(C7="","",SUM($E$5:E7))</f>
        <v/>
      </c>
      <c r="G7" s="8" t="str">
        <f>IF(C7="","",IF('Rules &amp; Notes'!$B$4-D7&gt;0,F7/(('Rules &amp; Notes'!$B$4-D7)/'Rules &amp; Notes'!$B$3),""))</f>
        <v/>
      </c>
      <c r="H7" s="43"/>
      <c r="I7" s="50"/>
      <c r="J7" s="52" t="str">
        <f t="shared" si="2"/>
        <v/>
      </c>
      <c r="K7" s="5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6" t="str">
        <f>IF(C7="","",IF(D7&gt;'Rules &amp; Notes'!$B$4,"TOTAL &gt; 416",IF(OR(SUM($K$5:K7)&gt;32,SUM($L$5:L7)&gt;32,SUM($M$5:M7)&gt;32,SUM($N$5:N7)&gt;32,SUM($O$5:O7)&gt;32,SUM($P$5:P7)&gt;32,SUM($Q$5:Q7)&gt;32,SUM($R$5:R7)&gt;32,SUM($S$5:S7)&gt;32,SUM($T$5:T7)&gt;32,SUM($U$5:U7)&gt;32,SUM($V$5:V7)&gt;32,SUM($W$5:W7)&gt;32),"RANK &gt; 32",IF(C7&gt;6,"HAND &gt; 6","OK"))))</f>
        <v/>
      </c>
      <c r="Y7" s="7" t="str">
        <f t="shared" si="3"/>
        <v/>
      </c>
      <c r="Z7" s="7" t="str">
        <f>IF(C7="","",SUM($Y$5:Y7))</f>
        <v/>
      </c>
      <c r="AA7" s="9" t="str">
        <f>IF(C7="","",MAX(0,('Rules &amp; Notes'!$B$4-D7)/'Rules &amp; Notes'!$B$3))</f>
        <v/>
      </c>
      <c r="AB7" s="9" t="str">
        <f t="shared" si="4"/>
        <v/>
      </c>
      <c r="AC7" s="10" t="str">
        <f t="shared" si="5"/>
        <v/>
      </c>
    </row>
    <row r="8" spans="1:29" ht="18" customHeight="1">
      <c r="A8" s="6">
        <v>4</v>
      </c>
      <c r="B8" s="6"/>
      <c r="C8" s="6" t="str">
        <f t="shared" si="0"/>
        <v/>
      </c>
      <c r="D8" s="7" t="str">
        <f>IF(C8="","",SUM($C$5:C8))</f>
        <v/>
      </c>
      <c r="E8" s="7" t="str">
        <f t="shared" si="1"/>
        <v/>
      </c>
      <c r="F8" s="7" t="str">
        <f>IF(C8="","",SUM($E$5:E8))</f>
        <v/>
      </c>
      <c r="G8" s="8" t="str">
        <f>IF(C8="","",IF('Rules &amp; Notes'!$B$4-D8&gt;0,F8/(('Rules &amp; Notes'!$B$4-D8)/'Rules &amp; Notes'!$B$3),""))</f>
        <v/>
      </c>
      <c r="H8" s="43"/>
      <c r="I8" s="50"/>
      <c r="J8" s="52" t="str">
        <f t="shared" si="2"/>
        <v/>
      </c>
      <c r="K8" s="5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6" t="str">
        <f>IF(C8="","",IF(D8&gt;'Rules &amp; Notes'!$B$4,"TOTAL &gt; 416",IF(OR(SUM($K$5:K8)&gt;32,SUM($L$5:L8)&gt;32,SUM($M$5:M8)&gt;32,SUM($N$5:N8)&gt;32,SUM($O$5:O8)&gt;32,SUM($P$5:P8)&gt;32,SUM($Q$5:Q8)&gt;32,SUM($R$5:R8)&gt;32,SUM($S$5:S8)&gt;32,SUM($T$5:T8)&gt;32,SUM($U$5:U8)&gt;32,SUM($V$5:V8)&gt;32,SUM($W$5:W8)&gt;32),"RANK &gt; 32",IF(C8&gt;6,"HAND &gt; 6","OK"))))</f>
        <v/>
      </c>
      <c r="Y8" s="7" t="str">
        <f t="shared" si="3"/>
        <v/>
      </c>
      <c r="Z8" s="7" t="str">
        <f>IF(C8="","",SUM($Y$5:Y8))</f>
        <v/>
      </c>
      <c r="AA8" s="9" t="str">
        <f>IF(C8="","",MAX(0,('Rules &amp; Notes'!$B$4-D8)/'Rules &amp; Notes'!$B$3))</f>
        <v/>
      </c>
      <c r="AB8" s="9" t="str">
        <f t="shared" si="4"/>
        <v/>
      </c>
      <c r="AC8" s="10" t="str">
        <f t="shared" si="5"/>
        <v/>
      </c>
    </row>
    <row r="9" spans="1:29" ht="18" customHeight="1">
      <c r="A9" s="6">
        <v>5</v>
      </c>
      <c r="B9" s="6"/>
      <c r="C9" s="6" t="str">
        <f t="shared" si="0"/>
        <v/>
      </c>
      <c r="D9" s="7" t="str">
        <f>IF(C9="","",SUM($C$5:C9))</f>
        <v/>
      </c>
      <c r="E9" s="7" t="str">
        <f t="shared" si="1"/>
        <v/>
      </c>
      <c r="F9" s="7" t="str">
        <f>IF(C9="","",SUM($E$5:E9))</f>
        <v/>
      </c>
      <c r="G9" s="8" t="str">
        <f>IF(C9="","",IF('Rules &amp; Notes'!$B$4-D9&gt;0,F9/(('Rules &amp; Notes'!$B$4-D9)/'Rules &amp; Notes'!$B$3),""))</f>
        <v/>
      </c>
      <c r="H9" s="43"/>
      <c r="I9" s="50"/>
      <c r="J9" s="52" t="str">
        <f t="shared" si="2"/>
        <v/>
      </c>
      <c r="K9" s="5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6" t="str">
        <f>IF(C9="","",IF(D9&gt;'Rules &amp; Notes'!$B$4,"TOTAL &gt; 416",IF(OR(SUM($K$5:K9)&gt;32,SUM($L$5:L9)&gt;32,SUM($M$5:M9)&gt;32,SUM($N$5:N9)&gt;32,SUM($O$5:O9)&gt;32,SUM($P$5:P9)&gt;32,SUM($Q$5:Q9)&gt;32,SUM($R$5:R9)&gt;32,SUM($S$5:S9)&gt;32,SUM($T$5:T9)&gt;32,SUM($U$5:U9)&gt;32,SUM($V$5:V9)&gt;32,SUM($W$5:W9)&gt;32),"RANK &gt; 32",IF(C9&gt;6,"HAND &gt; 6","OK"))))</f>
        <v/>
      </c>
      <c r="Y9" s="7" t="str">
        <f t="shared" si="3"/>
        <v/>
      </c>
      <c r="Z9" s="7" t="str">
        <f>IF(C9="","",SUM($Y$5:Y9))</f>
        <v/>
      </c>
      <c r="AA9" s="9" t="str">
        <f>IF(C9="","",MAX(0,('Rules &amp; Notes'!$B$4-D9)/'Rules &amp; Notes'!$B$3))</f>
        <v/>
      </c>
      <c r="AB9" s="9" t="str">
        <f t="shared" si="4"/>
        <v/>
      </c>
      <c r="AC9" s="10" t="str">
        <f t="shared" si="5"/>
        <v/>
      </c>
    </row>
    <row r="10" spans="1:29" ht="18" customHeight="1">
      <c r="A10" s="6">
        <v>6</v>
      </c>
      <c r="B10" s="6"/>
      <c r="C10" s="6" t="str">
        <f t="shared" si="0"/>
        <v/>
      </c>
      <c r="D10" s="7" t="str">
        <f>IF(C10="","",SUM($C$5:C10))</f>
        <v/>
      </c>
      <c r="E10" s="7" t="str">
        <f t="shared" si="1"/>
        <v/>
      </c>
      <c r="F10" s="7" t="str">
        <f>IF(C10="","",SUM($E$5:E10))</f>
        <v/>
      </c>
      <c r="G10" s="8" t="str">
        <f>IF(C10="","",IF('Rules &amp; Notes'!$B$4-D10&gt;0,F10/(('Rules &amp; Notes'!$B$4-D10)/'Rules &amp; Notes'!$B$3),""))</f>
        <v/>
      </c>
      <c r="H10" s="43"/>
      <c r="I10" s="50"/>
      <c r="J10" s="52" t="str">
        <f t="shared" si="2"/>
        <v/>
      </c>
      <c r="K10" s="5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6" t="str">
        <f>IF(C10="","",IF(D10&gt;'Rules &amp; Notes'!$B$4,"TOTAL &gt; 416",IF(OR(SUM($K$5:K10)&gt;32,SUM($L$5:L10)&gt;32,SUM($M$5:M10)&gt;32,SUM($N$5:N10)&gt;32,SUM($O$5:O10)&gt;32,SUM($P$5:P10)&gt;32,SUM($Q$5:Q10)&gt;32,SUM($R$5:R10)&gt;32,SUM($S$5:S10)&gt;32,SUM($T$5:T10)&gt;32,SUM($U$5:U10)&gt;32,SUM($V$5:V10)&gt;32,SUM($W$5:W10)&gt;32),"RANK &gt; 32",IF(C10&gt;6,"HAND &gt; 6","OK"))))</f>
        <v/>
      </c>
      <c r="Y10" s="7" t="str">
        <f t="shared" si="3"/>
        <v/>
      </c>
      <c r="Z10" s="7" t="str">
        <f>IF(C10="","",SUM($Y$5:Y10))</f>
        <v/>
      </c>
      <c r="AA10" s="9" t="str">
        <f>IF(C10="","",MAX(0,('Rules &amp; Notes'!$B$4-D10)/'Rules &amp; Notes'!$B$3))</f>
        <v/>
      </c>
      <c r="AB10" s="9" t="str">
        <f t="shared" si="4"/>
        <v/>
      </c>
      <c r="AC10" s="10" t="str">
        <f t="shared" si="5"/>
        <v/>
      </c>
    </row>
    <row r="11" spans="1:29" ht="18" customHeight="1">
      <c r="A11" s="6">
        <v>7</v>
      </c>
      <c r="B11" s="6"/>
      <c r="C11" s="6" t="str">
        <f t="shared" si="0"/>
        <v/>
      </c>
      <c r="D11" s="7" t="str">
        <f>IF(C11="","",SUM($C$5:C11))</f>
        <v/>
      </c>
      <c r="E11" s="7" t="str">
        <f t="shared" si="1"/>
        <v/>
      </c>
      <c r="F11" s="7" t="str">
        <f>IF(C11="","",SUM($E$5:E11))</f>
        <v/>
      </c>
      <c r="G11" s="8" t="str">
        <f>IF(C11="","",IF('Rules &amp; Notes'!$B$4-D11&gt;0,F11/(('Rules &amp; Notes'!$B$4-D11)/'Rules &amp; Notes'!$B$3),""))</f>
        <v/>
      </c>
      <c r="H11" s="43"/>
      <c r="I11" s="50"/>
      <c r="J11" s="52" t="str">
        <f t="shared" si="2"/>
        <v/>
      </c>
      <c r="K11" s="5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6" t="str">
        <f>IF(C11="","",IF(D11&gt;'Rules &amp; Notes'!$B$4,"TOTAL &gt; 416",IF(OR(SUM($K$5:K11)&gt;32,SUM($L$5:L11)&gt;32,SUM($M$5:M11)&gt;32,SUM($N$5:N11)&gt;32,SUM($O$5:O11)&gt;32,SUM($P$5:P11)&gt;32,SUM($Q$5:Q11)&gt;32,SUM($R$5:R11)&gt;32,SUM($S$5:S11)&gt;32,SUM($T$5:T11)&gt;32,SUM($U$5:U11)&gt;32,SUM($V$5:V11)&gt;32,SUM($W$5:W11)&gt;32),"RANK &gt; 32",IF(C11&gt;6,"HAND &gt; 6","OK"))))</f>
        <v/>
      </c>
      <c r="Y11" s="7" t="str">
        <f t="shared" si="3"/>
        <v/>
      </c>
      <c r="Z11" s="7" t="str">
        <f>IF(C11="","",SUM($Y$5:Y11))</f>
        <v/>
      </c>
      <c r="AA11" s="9" t="str">
        <f>IF(C11="","",MAX(0,('Rules &amp; Notes'!$B$4-D11)/'Rules &amp; Notes'!$B$3))</f>
        <v/>
      </c>
      <c r="AB11" s="9" t="str">
        <f t="shared" si="4"/>
        <v/>
      </c>
      <c r="AC11" s="10" t="str">
        <f t="shared" si="5"/>
        <v/>
      </c>
    </row>
    <row r="12" spans="1:29" ht="18" customHeight="1">
      <c r="A12" s="6">
        <v>8</v>
      </c>
      <c r="B12" s="6"/>
      <c r="C12" s="6" t="str">
        <f t="shared" si="0"/>
        <v/>
      </c>
      <c r="D12" s="7" t="str">
        <f>IF(C12="","",SUM($C$5:C12))</f>
        <v/>
      </c>
      <c r="E12" s="7" t="str">
        <f t="shared" si="1"/>
        <v/>
      </c>
      <c r="F12" s="7" t="str">
        <f>IF(C12="","",SUM($E$5:E12))</f>
        <v/>
      </c>
      <c r="G12" s="8" t="str">
        <f>IF(C12="","",IF('Rules &amp; Notes'!$B$4-D12&gt;0,F12/(('Rules &amp; Notes'!$B$4-D12)/'Rules &amp; Notes'!$B$3),""))</f>
        <v/>
      </c>
      <c r="H12" s="43"/>
      <c r="I12" s="50"/>
      <c r="J12" s="52" t="str">
        <f t="shared" si="2"/>
        <v/>
      </c>
      <c r="K12" s="5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6" t="str">
        <f>IF(C12="","",IF(D12&gt;'Rules &amp; Notes'!$B$4,"TOTAL &gt; 416",IF(OR(SUM($K$5:K12)&gt;32,SUM($L$5:L12)&gt;32,SUM($M$5:M12)&gt;32,SUM($N$5:N12)&gt;32,SUM($O$5:O12)&gt;32,SUM($P$5:P12)&gt;32,SUM($Q$5:Q12)&gt;32,SUM($R$5:R12)&gt;32,SUM($S$5:S12)&gt;32,SUM($T$5:T12)&gt;32,SUM($U$5:U12)&gt;32,SUM($V$5:V12)&gt;32,SUM($W$5:W12)&gt;32),"RANK &gt; 32",IF(C12&gt;6,"HAND &gt; 6","OK"))))</f>
        <v/>
      </c>
      <c r="Y12" s="7" t="str">
        <f t="shared" si="3"/>
        <v/>
      </c>
      <c r="Z12" s="7" t="str">
        <f>IF(C12="","",SUM($Y$5:Y12))</f>
        <v/>
      </c>
      <c r="AA12" s="9" t="str">
        <f>IF(C12="","",MAX(0,('Rules &amp; Notes'!$B$4-D12)/'Rules &amp; Notes'!$B$3))</f>
        <v/>
      </c>
      <c r="AB12" s="9" t="str">
        <f t="shared" si="4"/>
        <v/>
      </c>
      <c r="AC12" s="10" t="str">
        <f t="shared" si="5"/>
        <v/>
      </c>
    </row>
    <row r="13" spans="1:29" ht="18" customHeight="1">
      <c r="A13" s="6">
        <v>9</v>
      </c>
      <c r="B13" s="6"/>
      <c r="C13" s="6" t="str">
        <f t="shared" si="0"/>
        <v/>
      </c>
      <c r="D13" s="7" t="str">
        <f>IF(C13="","",SUM($C$5:C13))</f>
        <v/>
      </c>
      <c r="E13" s="7" t="str">
        <f t="shared" si="1"/>
        <v/>
      </c>
      <c r="F13" s="7" t="str">
        <f>IF(C13="","",SUM($E$5:E13))</f>
        <v/>
      </c>
      <c r="G13" s="8" t="str">
        <f>IF(C13="","",IF('Rules &amp; Notes'!$B$4-D13&gt;0,F13/(('Rules &amp; Notes'!$B$4-D13)/'Rules &amp; Notes'!$B$3),""))</f>
        <v/>
      </c>
      <c r="H13" s="43"/>
      <c r="I13" s="50"/>
      <c r="J13" s="52" t="str">
        <f t="shared" si="2"/>
        <v/>
      </c>
      <c r="K13" s="5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6" t="str">
        <f>IF(C13="","",IF(D13&gt;'Rules &amp; Notes'!$B$4,"TOTAL &gt; 416",IF(OR(SUM($K$5:K13)&gt;32,SUM($L$5:L13)&gt;32,SUM($M$5:M13)&gt;32,SUM($N$5:N13)&gt;32,SUM($O$5:O13)&gt;32,SUM($P$5:P13)&gt;32,SUM($Q$5:Q13)&gt;32,SUM($R$5:R13)&gt;32,SUM($S$5:S13)&gt;32,SUM($T$5:T13)&gt;32,SUM($U$5:U13)&gt;32,SUM($V$5:V13)&gt;32,SUM($W$5:W13)&gt;32),"RANK &gt; 32",IF(C13&gt;6,"HAND &gt; 6","OK"))))</f>
        <v/>
      </c>
      <c r="Y13" s="7" t="str">
        <f t="shared" si="3"/>
        <v/>
      </c>
      <c r="Z13" s="7" t="str">
        <f>IF(C13="","",SUM($Y$5:Y13))</f>
        <v/>
      </c>
      <c r="AA13" s="9" t="str">
        <f>IF(C13="","",MAX(0,('Rules &amp; Notes'!$B$4-D13)/'Rules &amp; Notes'!$B$3))</f>
        <v/>
      </c>
      <c r="AB13" s="9" t="str">
        <f t="shared" si="4"/>
        <v/>
      </c>
      <c r="AC13" s="10" t="str">
        <f t="shared" si="5"/>
        <v/>
      </c>
    </row>
    <row r="14" spans="1:29" ht="18" customHeight="1">
      <c r="A14" s="6">
        <v>10</v>
      </c>
      <c r="B14" s="6"/>
      <c r="C14" s="6" t="str">
        <f t="shared" si="0"/>
        <v/>
      </c>
      <c r="D14" s="7" t="str">
        <f>IF(C14="","",SUM($C$5:C14))</f>
        <v/>
      </c>
      <c r="E14" s="7" t="str">
        <f t="shared" si="1"/>
        <v/>
      </c>
      <c r="F14" s="7" t="str">
        <f>IF(C14="","",SUM($E$5:E14))</f>
        <v/>
      </c>
      <c r="G14" s="8" t="str">
        <f>IF(C14="","",IF('Rules &amp; Notes'!$B$4-D14&gt;0,F14/(('Rules &amp; Notes'!$B$4-D14)/'Rules &amp; Notes'!$B$3),""))</f>
        <v/>
      </c>
      <c r="H14" s="43"/>
      <c r="I14" s="50"/>
      <c r="J14" s="52" t="str">
        <f t="shared" si="2"/>
        <v/>
      </c>
      <c r="K14" s="5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6" t="str">
        <f>IF(C14="","",IF(D14&gt;'Rules &amp; Notes'!$B$4,"TOTAL &gt; 416",IF(OR(SUM($K$5:K14)&gt;32,SUM($L$5:L14)&gt;32,SUM($M$5:M14)&gt;32,SUM($N$5:N14)&gt;32,SUM($O$5:O14)&gt;32,SUM($P$5:P14)&gt;32,SUM($Q$5:Q14)&gt;32,SUM($R$5:R14)&gt;32,SUM($S$5:S14)&gt;32,SUM($T$5:T14)&gt;32,SUM($U$5:U14)&gt;32,SUM($V$5:V14)&gt;32,SUM($W$5:W14)&gt;32),"RANK &gt; 32",IF(C14&gt;6,"HAND &gt; 6","OK"))))</f>
        <v/>
      </c>
      <c r="Y14" s="7" t="str">
        <f t="shared" si="3"/>
        <v/>
      </c>
      <c r="Z14" s="7" t="str">
        <f>IF(C14="","",SUM($Y$5:Y14))</f>
        <v/>
      </c>
      <c r="AA14" s="9" t="str">
        <f>IF(C14="","",MAX(0,('Rules &amp; Notes'!$B$4-D14)/'Rules &amp; Notes'!$B$3))</f>
        <v/>
      </c>
      <c r="AB14" s="9" t="str">
        <f t="shared" si="4"/>
        <v/>
      </c>
      <c r="AC14" s="10" t="str">
        <f t="shared" si="5"/>
        <v/>
      </c>
    </row>
    <row r="15" spans="1:29" ht="18" customHeight="1">
      <c r="A15" s="6">
        <v>11</v>
      </c>
      <c r="B15" s="6"/>
      <c r="C15" s="6" t="str">
        <f t="shared" si="0"/>
        <v/>
      </c>
      <c r="D15" s="7" t="str">
        <f>IF(C15="","",SUM($C$5:C15))</f>
        <v/>
      </c>
      <c r="E15" s="7" t="str">
        <f t="shared" si="1"/>
        <v/>
      </c>
      <c r="F15" s="7" t="str">
        <f>IF(C15="","",SUM($E$5:E15))</f>
        <v/>
      </c>
      <c r="G15" s="8" t="str">
        <f>IF(C15="","",IF('Rules &amp; Notes'!$B$4-D15&gt;0,F15/(('Rules &amp; Notes'!$B$4-D15)/'Rules &amp; Notes'!$B$3),""))</f>
        <v/>
      </c>
      <c r="H15" s="43"/>
      <c r="I15" s="50"/>
      <c r="J15" s="52" t="str">
        <f t="shared" si="2"/>
        <v/>
      </c>
      <c r="K15" s="5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6" t="str">
        <f>IF(C15="","",IF(D15&gt;'Rules &amp; Notes'!$B$4,"TOTAL &gt; 416",IF(OR(SUM($K$5:K15)&gt;32,SUM($L$5:L15)&gt;32,SUM($M$5:M15)&gt;32,SUM($N$5:N15)&gt;32,SUM($O$5:O15)&gt;32,SUM($P$5:P15)&gt;32,SUM($Q$5:Q15)&gt;32,SUM($R$5:R15)&gt;32,SUM($S$5:S15)&gt;32,SUM($T$5:T15)&gt;32,SUM($U$5:U15)&gt;32,SUM($V$5:V15)&gt;32,SUM($W$5:W15)&gt;32),"RANK &gt; 32",IF(C15&gt;6,"HAND &gt; 6","OK"))))</f>
        <v/>
      </c>
      <c r="Y15" s="7" t="str">
        <f t="shared" si="3"/>
        <v/>
      </c>
      <c r="Z15" s="7" t="str">
        <f>IF(C15="","",SUM($Y$5:Y15))</f>
        <v/>
      </c>
      <c r="AA15" s="9" t="str">
        <f>IF(C15="","",MAX(0,('Rules &amp; Notes'!$B$4-D15)/'Rules &amp; Notes'!$B$3))</f>
        <v/>
      </c>
      <c r="AB15" s="9" t="str">
        <f t="shared" si="4"/>
        <v/>
      </c>
      <c r="AC15" s="10" t="str">
        <f t="shared" si="5"/>
        <v/>
      </c>
    </row>
    <row r="16" spans="1:29" ht="18" customHeight="1">
      <c r="A16" s="6">
        <v>12</v>
      </c>
      <c r="B16" s="6"/>
      <c r="C16" s="6" t="str">
        <f t="shared" si="0"/>
        <v/>
      </c>
      <c r="D16" s="7" t="str">
        <f>IF(C16="","",SUM($C$5:C16))</f>
        <v/>
      </c>
      <c r="E16" s="7" t="str">
        <f t="shared" si="1"/>
        <v/>
      </c>
      <c r="F16" s="7" t="str">
        <f>IF(C16="","",SUM($E$5:E16))</f>
        <v/>
      </c>
      <c r="G16" s="8" t="str">
        <f>IF(C16="","",IF('Rules &amp; Notes'!$B$4-D16&gt;0,F16/(('Rules &amp; Notes'!$B$4-D16)/'Rules &amp; Notes'!$B$3),""))</f>
        <v/>
      </c>
      <c r="H16" s="43"/>
      <c r="I16" s="50"/>
      <c r="J16" s="52" t="str">
        <f t="shared" si="2"/>
        <v/>
      </c>
      <c r="K16" s="5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6" t="str">
        <f>IF(C16="","",IF(D16&gt;'Rules &amp; Notes'!$B$4,"TOTAL &gt; 416",IF(OR(SUM($K$5:K16)&gt;32,SUM($L$5:L16)&gt;32,SUM($M$5:M16)&gt;32,SUM($N$5:N16)&gt;32,SUM($O$5:O16)&gt;32,SUM($P$5:P16)&gt;32,SUM($Q$5:Q16)&gt;32,SUM($R$5:R16)&gt;32,SUM($S$5:S16)&gt;32,SUM($T$5:T16)&gt;32,SUM($U$5:U16)&gt;32,SUM($V$5:V16)&gt;32,SUM($W$5:W16)&gt;32),"RANK &gt; 32",IF(C16&gt;6,"HAND &gt; 6","OK"))))</f>
        <v/>
      </c>
      <c r="Y16" s="7" t="str">
        <f t="shared" si="3"/>
        <v/>
      </c>
      <c r="Z16" s="7" t="str">
        <f>IF(C16="","",SUM($Y$5:Y16))</f>
        <v/>
      </c>
      <c r="AA16" s="9" t="str">
        <f>IF(C16="","",MAX(0,('Rules &amp; Notes'!$B$4-D16)/'Rules &amp; Notes'!$B$3))</f>
        <v/>
      </c>
      <c r="AB16" s="9" t="str">
        <f t="shared" si="4"/>
        <v/>
      </c>
      <c r="AC16" s="10" t="str">
        <f t="shared" si="5"/>
        <v/>
      </c>
    </row>
    <row r="17" spans="1:29" ht="18" customHeight="1">
      <c r="A17" s="6">
        <v>13</v>
      </c>
      <c r="B17" s="6"/>
      <c r="C17" s="6" t="str">
        <f t="shared" si="0"/>
        <v/>
      </c>
      <c r="D17" s="7" t="str">
        <f>IF(C17="","",SUM($C$5:C17))</f>
        <v/>
      </c>
      <c r="E17" s="7" t="str">
        <f t="shared" si="1"/>
        <v/>
      </c>
      <c r="F17" s="7" t="str">
        <f>IF(C17="","",SUM($E$5:E17))</f>
        <v/>
      </c>
      <c r="G17" s="8" t="str">
        <f>IF(C17="","",IF('Rules &amp; Notes'!$B$4-D17&gt;0,F17/(('Rules &amp; Notes'!$B$4-D17)/'Rules &amp; Notes'!$B$3),""))</f>
        <v/>
      </c>
      <c r="H17" s="43"/>
      <c r="I17" s="50"/>
      <c r="J17" s="52" t="str">
        <f t="shared" si="2"/>
        <v/>
      </c>
      <c r="K17" s="5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6" t="str">
        <f>IF(C17="","",IF(D17&gt;'Rules &amp; Notes'!$B$4,"TOTAL &gt; 416",IF(OR(SUM($K$5:K17)&gt;32,SUM($L$5:L17)&gt;32,SUM($M$5:M17)&gt;32,SUM($N$5:N17)&gt;32,SUM($O$5:O17)&gt;32,SUM($P$5:P17)&gt;32,SUM($Q$5:Q17)&gt;32,SUM($R$5:R17)&gt;32,SUM($S$5:S17)&gt;32,SUM($T$5:T17)&gt;32,SUM($U$5:U17)&gt;32,SUM($V$5:V17)&gt;32,SUM($W$5:W17)&gt;32),"RANK &gt; 32",IF(C17&gt;6,"HAND &gt; 6","OK"))))</f>
        <v/>
      </c>
      <c r="Y17" s="7" t="str">
        <f t="shared" si="3"/>
        <v/>
      </c>
      <c r="Z17" s="7" t="str">
        <f>IF(C17="","",SUM($Y$5:Y17))</f>
        <v/>
      </c>
      <c r="AA17" s="9" t="str">
        <f>IF(C17="","",MAX(0,('Rules &amp; Notes'!$B$4-D17)/'Rules &amp; Notes'!$B$3))</f>
        <v/>
      </c>
      <c r="AB17" s="9" t="str">
        <f t="shared" si="4"/>
        <v/>
      </c>
      <c r="AC17" s="10" t="str">
        <f t="shared" si="5"/>
        <v/>
      </c>
    </row>
    <row r="18" spans="1:29" ht="18" customHeight="1">
      <c r="A18" s="6">
        <v>14</v>
      </c>
      <c r="B18" s="6"/>
      <c r="C18" s="6" t="str">
        <f t="shared" si="0"/>
        <v/>
      </c>
      <c r="D18" s="7" t="str">
        <f>IF(C18="","",SUM($C$5:C18))</f>
        <v/>
      </c>
      <c r="E18" s="7" t="str">
        <f t="shared" si="1"/>
        <v/>
      </c>
      <c r="F18" s="7" t="str">
        <f>IF(C18="","",SUM($E$5:E18))</f>
        <v/>
      </c>
      <c r="G18" s="8" t="str">
        <f>IF(C18="","",IF('Rules &amp; Notes'!$B$4-D18&gt;0,F18/(('Rules &amp; Notes'!$B$4-D18)/'Rules &amp; Notes'!$B$3),""))</f>
        <v/>
      </c>
      <c r="H18" s="43"/>
      <c r="I18" s="50"/>
      <c r="J18" s="52" t="str">
        <f t="shared" si="2"/>
        <v/>
      </c>
      <c r="K18" s="5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6" t="str">
        <f>IF(C18="","",IF(D18&gt;'Rules &amp; Notes'!$B$4,"TOTAL &gt; 416",IF(OR(SUM($K$5:K18)&gt;32,SUM($L$5:L18)&gt;32,SUM($M$5:M18)&gt;32,SUM($N$5:N18)&gt;32,SUM($O$5:O18)&gt;32,SUM($P$5:P18)&gt;32,SUM($Q$5:Q18)&gt;32,SUM($R$5:R18)&gt;32,SUM($S$5:S18)&gt;32,SUM($T$5:T18)&gt;32,SUM($U$5:U18)&gt;32,SUM($V$5:V18)&gt;32,SUM($W$5:W18)&gt;32),"RANK &gt; 32",IF(C18&gt;6,"HAND &gt; 6","OK"))))</f>
        <v/>
      </c>
      <c r="Y18" s="7" t="str">
        <f t="shared" si="3"/>
        <v/>
      </c>
      <c r="Z18" s="7" t="str">
        <f>IF(C18="","",SUM($Y$5:Y18))</f>
        <v/>
      </c>
      <c r="AA18" s="9" t="str">
        <f>IF(C18="","",MAX(0,('Rules &amp; Notes'!$B$4-D18)/'Rules &amp; Notes'!$B$3))</f>
        <v/>
      </c>
      <c r="AB18" s="9" t="str">
        <f t="shared" si="4"/>
        <v/>
      </c>
      <c r="AC18" s="10" t="str">
        <f t="shared" si="5"/>
        <v/>
      </c>
    </row>
    <row r="19" spans="1:29" ht="18" customHeight="1">
      <c r="A19" s="6">
        <v>15</v>
      </c>
      <c r="B19" s="6"/>
      <c r="C19" s="6" t="str">
        <f t="shared" si="0"/>
        <v/>
      </c>
      <c r="D19" s="7" t="str">
        <f>IF(C19="","",SUM($C$5:C19))</f>
        <v/>
      </c>
      <c r="E19" s="7" t="str">
        <f t="shared" si="1"/>
        <v/>
      </c>
      <c r="F19" s="7" t="str">
        <f>IF(C19="","",SUM($E$5:E19))</f>
        <v/>
      </c>
      <c r="G19" s="8" t="str">
        <f>IF(C19="","",IF('Rules &amp; Notes'!$B$4-D19&gt;0,F19/(('Rules &amp; Notes'!$B$4-D19)/'Rules &amp; Notes'!$B$3),""))</f>
        <v/>
      </c>
      <c r="H19" s="43"/>
      <c r="I19" s="50"/>
      <c r="J19" s="52" t="str">
        <f t="shared" si="2"/>
        <v/>
      </c>
      <c r="K19" s="5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6" t="str">
        <f>IF(C19="","",IF(D19&gt;'Rules &amp; Notes'!$B$4,"TOTAL &gt; 416",IF(OR(SUM($K$5:K19)&gt;32,SUM($L$5:L19)&gt;32,SUM($M$5:M19)&gt;32,SUM($N$5:N19)&gt;32,SUM($O$5:O19)&gt;32,SUM($P$5:P19)&gt;32,SUM($Q$5:Q19)&gt;32,SUM($R$5:R19)&gt;32,SUM($S$5:S19)&gt;32,SUM($T$5:T19)&gt;32,SUM($U$5:U19)&gt;32,SUM($V$5:V19)&gt;32,SUM($W$5:W19)&gt;32),"RANK &gt; 32",IF(C19&gt;6,"HAND &gt; 6","OK"))))</f>
        <v/>
      </c>
      <c r="Y19" s="7" t="str">
        <f t="shared" si="3"/>
        <v/>
      </c>
      <c r="Z19" s="7" t="str">
        <f>IF(C19="","",SUM($Y$5:Y19))</f>
        <v/>
      </c>
      <c r="AA19" s="9" t="str">
        <f>IF(C19="","",MAX(0,('Rules &amp; Notes'!$B$4-D19)/'Rules &amp; Notes'!$B$3))</f>
        <v/>
      </c>
      <c r="AB19" s="9" t="str">
        <f t="shared" si="4"/>
        <v/>
      </c>
      <c r="AC19" s="10" t="str">
        <f t="shared" si="5"/>
        <v/>
      </c>
    </row>
    <row r="20" spans="1:29" ht="18" customHeight="1">
      <c r="A20" s="6">
        <v>16</v>
      </c>
      <c r="B20" s="6"/>
      <c r="C20" s="6" t="str">
        <f t="shared" si="0"/>
        <v/>
      </c>
      <c r="D20" s="7" t="str">
        <f>IF(C20="","",SUM($C$5:C20))</f>
        <v/>
      </c>
      <c r="E20" s="7" t="str">
        <f t="shared" si="1"/>
        <v/>
      </c>
      <c r="F20" s="7" t="str">
        <f>IF(C20="","",SUM($E$5:E20))</f>
        <v/>
      </c>
      <c r="G20" s="8" t="str">
        <f>IF(C20="","",IF('Rules &amp; Notes'!$B$4-D20&gt;0,F20/(('Rules &amp; Notes'!$B$4-D20)/'Rules &amp; Notes'!$B$3),""))</f>
        <v/>
      </c>
      <c r="H20" s="43"/>
      <c r="I20" s="50"/>
      <c r="J20" s="52" t="str">
        <f t="shared" si="2"/>
        <v/>
      </c>
      <c r="K20" s="5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6" t="str">
        <f>IF(C20="","",IF(D20&gt;'Rules &amp; Notes'!$B$4,"TOTAL &gt; 416",IF(OR(SUM($K$5:K20)&gt;32,SUM($L$5:L20)&gt;32,SUM($M$5:M20)&gt;32,SUM($N$5:N20)&gt;32,SUM($O$5:O20)&gt;32,SUM($P$5:P20)&gt;32,SUM($Q$5:Q20)&gt;32,SUM($R$5:R20)&gt;32,SUM($S$5:S20)&gt;32,SUM($T$5:T20)&gt;32,SUM($U$5:U20)&gt;32,SUM($V$5:V20)&gt;32,SUM($W$5:W20)&gt;32),"RANK &gt; 32",IF(C20&gt;6,"HAND &gt; 6","OK"))))</f>
        <v/>
      </c>
      <c r="Y20" s="7" t="str">
        <f t="shared" si="3"/>
        <v/>
      </c>
      <c r="Z20" s="7" t="str">
        <f>IF(C20="","",SUM($Y$5:Y20))</f>
        <v/>
      </c>
      <c r="AA20" s="9" t="str">
        <f>IF(C20="","",MAX(0,('Rules &amp; Notes'!$B$4-D20)/'Rules &amp; Notes'!$B$3))</f>
        <v/>
      </c>
      <c r="AB20" s="9" t="str">
        <f t="shared" si="4"/>
        <v/>
      </c>
      <c r="AC20" s="10" t="str">
        <f t="shared" si="5"/>
        <v/>
      </c>
    </row>
    <row r="21" spans="1:29" ht="18" customHeight="1">
      <c r="A21" s="6">
        <v>17</v>
      </c>
      <c r="B21" s="6"/>
      <c r="C21" s="6" t="str">
        <f t="shared" si="0"/>
        <v/>
      </c>
      <c r="D21" s="7" t="str">
        <f>IF(C21="","",SUM($C$5:C21))</f>
        <v/>
      </c>
      <c r="E21" s="7" t="str">
        <f t="shared" si="1"/>
        <v/>
      </c>
      <c r="F21" s="7" t="str">
        <f>IF(C21="","",SUM($E$5:E21))</f>
        <v/>
      </c>
      <c r="G21" s="8" t="str">
        <f>IF(C21="","",IF('Rules &amp; Notes'!$B$4-D21&gt;0,F21/(('Rules &amp; Notes'!$B$4-D21)/'Rules &amp; Notes'!$B$3),""))</f>
        <v/>
      </c>
      <c r="H21" s="43"/>
      <c r="I21" s="50"/>
      <c r="J21" s="52" t="str">
        <f t="shared" si="2"/>
        <v/>
      </c>
      <c r="K21" s="5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6" t="str">
        <f>IF(C21="","",IF(D21&gt;'Rules &amp; Notes'!$B$4,"TOTAL &gt; 416",IF(OR(SUM($K$5:K21)&gt;32,SUM($L$5:L21)&gt;32,SUM($M$5:M21)&gt;32,SUM($N$5:N21)&gt;32,SUM($O$5:O21)&gt;32,SUM($P$5:P21)&gt;32,SUM($Q$5:Q21)&gt;32,SUM($R$5:R21)&gt;32,SUM($S$5:S21)&gt;32,SUM($T$5:T21)&gt;32,SUM($U$5:U21)&gt;32,SUM($V$5:V21)&gt;32,SUM($W$5:W21)&gt;32),"RANK &gt; 32",IF(C21&gt;6,"HAND &gt; 6","OK"))))</f>
        <v/>
      </c>
      <c r="Y21" s="7" t="str">
        <f t="shared" si="3"/>
        <v/>
      </c>
      <c r="Z21" s="7" t="str">
        <f>IF(C21="","",SUM($Y$5:Y21))</f>
        <v/>
      </c>
      <c r="AA21" s="9" t="str">
        <f>IF(C21="","",MAX(0,('Rules &amp; Notes'!$B$4-D21)/'Rules &amp; Notes'!$B$3))</f>
        <v/>
      </c>
      <c r="AB21" s="9" t="str">
        <f t="shared" si="4"/>
        <v/>
      </c>
      <c r="AC21" s="10" t="str">
        <f t="shared" si="5"/>
        <v/>
      </c>
    </row>
    <row r="22" spans="1:29" ht="18" customHeight="1">
      <c r="A22" s="6">
        <v>18</v>
      </c>
      <c r="B22" s="6"/>
      <c r="C22" s="6" t="str">
        <f t="shared" si="0"/>
        <v/>
      </c>
      <c r="D22" s="7" t="str">
        <f>IF(C22="","",SUM($C$5:C22))</f>
        <v/>
      </c>
      <c r="E22" s="7" t="str">
        <f t="shared" si="1"/>
        <v/>
      </c>
      <c r="F22" s="7" t="str">
        <f>IF(C22="","",SUM($E$5:E22))</f>
        <v/>
      </c>
      <c r="G22" s="8" t="str">
        <f>IF(C22="","",IF('Rules &amp; Notes'!$B$4-D22&gt;0,F22/(('Rules &amp; Notes'!$B$4-D22)/'Rules &amp; Notes'!$B$3),""))</f>
        <v/>
      </c>
      <c r="H22" s="43" t="str">
        <f t="shared" ref="H22:H36" si="6">""</f>
        <v/>
      </c>
      <c r="I22" s="50"/>
      <c r="J22" s="52" t="str">
        <f t="shared" si="2"/>
        <v/>
      </c>
      <c r="K22" s="5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6" t="str">
        <f>IF(C22="","",IF(D22&gt;'Rules &amp; Notes'!$B$4,"TOTAL &gt; 416",IF(OR(SUM($K$5:K22)&gt;32,SUM($L$5:L22)&gt;32,SUM($M$5:M22)&gt;32,SUM($N$5:N22)&gt;32,SUM($O$5:O22)&gt;32,SUM($P$5:P22)&gt;32,SUM($Q$5:Q22)&gt;32,SUM($R$5:R22)&gt;32,SUM($S$5:S22)&gt;32,SUM($T$5:T22)&gt;32,SUM($U$5:U22)&gt;32,SUM($V$5:V22)&gt;32,SUM($W$5:W22)&gt;32),"RANK &gt; 32",IF(C22&gt;6,"HAND &gt; 6","OK"))))</f>
        <v/>
      </c>
      <c r="Y22" s="7" t="str">
        <f t="shared" si="3"/>
        <v/>
      </c>
      <c r="Z22" s="7" t="str">
        <f>IF(C22="","",SUM($Y$5:Y22))</f>
        <v/>
      </c>
      <c r="AA22" s="9" t="str">
        <f>IF(C22="","",MAX(0,('Rules &amp; Notes'!$B$4-D22)/'Rules &amp; Notes'!$B$3))</f>
        <v/>
      </c>
      <c r="AB22" s="9" t="str">
        <f t="shared" si="4"/>
        <v/>
      </c>
      <c r="AC22" s="10" t="str">
        <f t="shared" si="5"/>
        <v/>
      </c>
    </row>
    <row r="23" spans="1:29" ht="18" customHeight="1">
      <c r="A23" s="6">
        <v>19</v>
      </c>
      <c r="B23" s="6"/>
      <c r="C23" s="6" t="str">
        <f t="shared" si="0"/>
        <v/>
      </c>
      <c r="D23" s="7" t="str">
        <f>IF(C23="","",SUM($C$5:C23))</f>
        <v/>
      </c>
      <c r="E23" s="7" t="str">
        <f t="shared" si="1"/>
        <v/>
      </c>
      <c r="F23" s="7" t="str">
        <f>IF(C23="","",SUM($E$5:E23))</f>
        <v/>
      </c>
      <c r="G23" s="8" t="str">
        <f>IF(C23="","",IF('Rules &amp; Notes'!$B$4-D23&gt;0,F23/(('Rules &amp; Notes'!$B$4-D23)/'Rules &amp; Notes'!$B$3),""))</f>
        <v/>
      </c>
      <c r="H23" s="43" t="str">
        <f t="shared" si="6"/>
        <v/>
      </c>
      <c r="I23" s="50"/>
      <c r="J23" s="52" t="str">
        <f t="shared" si="2"/>
        <v/>
      </c>
      <c r="K23" s="5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6" t="str">
        <f>IF(C23="","",IF(D23&gt;'Rules &amp; Notes'!$B$4,"TOTAL &gt; 416",IF(OR(SUM($K$5:K23)&gt;32,SUM($L$5:L23)&gt;32,SUM($M$5:M23)&gt;32,SUM($N$5:N23)&gt;32,SUM($O$5:O23)&gt;32,SUM($P$5:P23)&gt;32,SUM($Q$5:Q23)&gt;32,SUM($R$5:R23)&gt;32,SUM($S$5:S23)&gt;32,SUM($T$5:T23)&gt;32,SUM($U$5:U23)&gt;32,SUM($V$5:V23)&gt;32,SUM($W$5:W23)&gt;32),"RANK &gt; 32",IF(C23&gt;6,"HAND &gt; 6","OK"))))</f>
        <v/>
      </c>
      <c r="Y23" s="7" t="str">
        <f t="shared" si="3"/>
        <v/>
      </c>
      <c r="Z23" s="7" t="str">
        <f>IF(C23="","",SUM($Y$5:Y23))</f>
        <v/>
      </c>
      <c r="AA23" s="9" t="str">
        <f>IF(C23="","",MAX(0,('Rules &amp; Notes'!$B$4-D23)/'Rules &amp; Notes'!$B$3))</f>
        <v/>
      </c>
      <c r="AB23" s="9" t="str">
        <f t="shared" si="4"/>
        <v/>
      </c>
      <c r="AC23" s="10" t="str">
        <f t="shared" si="5"/>
        <v/>
      </c>
    </row>
    <row r="24" spans="1:29" ht="18" customHeight="1">
      <c r="A24" s="6">
        <v>20</v>
      </c>
      <c r="B24" s="6"/>
      <c r="C24" s="6" t="str">
        <f t="shared" si="0"/>
        <v/>
      </c>
      <c r="D24" s="7" t="str">
        <f>IF(C24="","",SUM($C$5:C24))</f>
        <v/>
      </c>
      <c r="E24" s="7" t="str">
        <f t="shared" si="1"/>
        <v/>
      </c>
      <c r="F24" s="7" t="str">
        <f>IF(C24="","",SUM($E$5:E24))</f>
        <v/>
      </c>
      <c r="G24" s="8" t="str">
        <f>IF(C24="","",IF('Rules &amp; Notes'!$B$4-D24&gt;0,F24/(('Rules &amp; Notes'!$B$4-D24)/'Rules &amp; Notes'!$B$3),""))</f>
        <v/>
      </c>
      <c r="H24" s="43" t="str">
        <f t="shared" si="6"/>
        <v/>
      </c>
      <c r="I24" s="50"/>
      <c r="J24" s="52" t="str">
        <f t="shared" si="2"/>
        <v/>
      </c>
      <c r="K24" s="5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6" t="str">
        <f>IF(C24="","",IF(D24&gt;'Rules &amp; Notes'!$B$4,"TOTAL &gt; 416",IF(OR(SUM($K$5:K24)&gt;32,SUM($L$5:L24)&gt;32,SUM($M$5:M24)&gt;32,SUM($N$5:N24)&gt;32,SUM($O$5:O24)&gt;32,SUM($P$5:P24)&gt;32,SUM($Q$5:Q24)&gt;32,SUM($R$5:R24)&gt;32,SUM($S$5:S24)&gt;32,SUM($T$5:T24)&gt;32,SUM($U$5:U24)&gt;32,SUM($V$5:V24)&gt;32,SUM($W$5:W24)&gt;32),"RANK &gt; 32",IF(C24&gt;6,"HAND &gt; 6","OK"))))</f>
        <v/>
      </c>
      <c r="Y24" s="7" t="str">
        <f t="shared" si="3"/>
        <v/>
      </c>
      <c r="Z24" s="7" t="str">
        <f>IF(C24="","",SUM($Y$5:Y24))</f>
        <v/>
      </c>
      <c r="AA24" s="9" t="str">
        <f>IF(C24="","",MAX(0,('Rules &amp; Notes'!$B$4-D24)/'Rules &amp; Notes'!$B$3))</f>
        <v/>
      </c>
      <c r="AB24" s="9" t="str">
        <f t="shared" si="4"/>
        <v/>
      </c>
      <c r="AC24" s="10" t="str">
        <f t="shared" si="5"/>
        <v/>
      </c>
    </row>
    <row r="25" spans="1:29" ht="18" customHeight="1">
      <c r="A25" s="6">
        <v>21</v>
      </c>
      <c r="B25" s="6"/>
      <c r="C25" s="6" t="str">
        <f t="shared" si="0"/>
        <v/>
      </c>
      <c r="D25" s="7" t="str">
        <f>IF(C25="","",SUM($C$5:C25))</f>
        <v/>
      </c>
      <c r="E25" s="7" t="str">
        <f t="shared" si="1"/>
        <v/>
      </c>
      <c r="F25" s="7" t="str">
        <f>IF(C25="","",SUM($E$5:E25))</f>
        <v/>
      </c>
      <c r="G25" s="8" t="str">
        <f>IF(C25="","",IF('Rules &amp; Notes'!$B$4-D25&gt;0,F25/(('Rules &amp; Notes'!$B$4-D25)/'Rules &amp; Notes'!$B$3),""))</f>
        <v/>
      </c>
      <c r="H25" s="43" t="str">
        <f t="shared" si="6"/>
        <v/>
      </c>
      <c r="I25" s="50"/>
      <c r="J25" s="52" t="str">
        <f t="shared" si="2"/>
        <v/>
      </c>
      <c r="K25" s="5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6" t="str">
        <f>IF(C25="","",IF(D25&gt;'Rules &amp; Notes'!$B$4,"TOTAL &gt; 416",IF(OR(SUM($K$5:K25)&gt;32,SUM($L$5:L25)&gt;32,SUM($M$5:M25)&gt;32,SUM($N$5:N25)&gt;32,SUM($O$5:O25)&gt;32,SUM($P$5:P25)&gt;32,SUM($Q$5:Q25)&gt;32,SUM($R$5:R25)&gt;32,SUM($S$5:S25)&gt;32,SUM($T$5:T25)&gt;32,SUM($U$5:U25)&gt;32,SUM($V$5:V25)&gt;32,SUM($W$5:W25)&gt;32),"RANK &gt; 32",IF(C25&gt;6,"HAND &gt; 6","OK"))))</f>
        <v/>
      </c>
      <c r="Y25" s="7" t="str">
        <f t="shared" si="3"/>
        <v/>
      </c>
      <c r="Z25" s="7" t="str">
        <f>IF(C25="","",SUM($Y$5:Y25))</f>
        <v/>
      </c>
      <c r="AA25" s="9" t="str">
        <f>IF(C25="","",MAX(0,('Rules &amp; Notes'!$B$4-D25)/'Rules &amp; Notes'!$B$3))</f>
        <v/>
      </c>
      <c r="AB25" s="9" t="str">
        <f t="shared" si="4"/>
        <v/>
      </c>
      <c r="AC25" s="10" t="str">
        <f t="shared" si="5"/>
        <v/>
      </c>
    </row>
    <row r="26" spans="1:29" ht="18" customHeight="1">
      <c r="A26" s="6">
        <v>22</v>
      </c>
      <c r="B26" s="6"/>
      <c r="C26" s="6" t="str">
        <f t="shared" si="0"/>
        <v/>
      </c>
      <c r="D26" s="7" t="str">
        <f>IF(C26="","",SUM($C$5:C26))</f>
        <v/>
      </c>
      <c r="E26" s="7" t="str">
        <f t="shared" si="1"/>
        <v/>
      </c>
      <c r="F26" s="7" t="str">
        <f>IF(C26="","",SUM($E$5:E26))</f>
        <v/>
      </c>
      <c r="G26" s="8" t="str">
        <f>IF(C26="","",IF('Rules &amp; Notes'!$B$4-D26&gt;0,F26/(('Rules &amp; Notes'!$B$4-D26)/'Rules &amp; Notes'!$B$3),""))</f>
        <v/>
      </c>
      <c r="H26" s="43" t="str">
        <f t="shared" si="6"/>
        <v/>
      </c>
      <c r="I26" s="50"/>
      <c r="J26" s="52" t="str">
        <f t="shared" si="2"/>
        <v/>
      </c>
      <c r="K26" s="5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6" t="str">
        <f>IF(C26="","",IF(D26&gt;'Rules &amp; Notes'!$B$4,"TOTAL &gt; 416",IF(OR(SUM($K$5:K26)&gt;32,SUM($L$5:L26)&gt;32,SUM($M$5:M26)&gt;32,SUM($N$5:N26)&gt;32,SUM($O$5:O26)&gt;32,SUM($P$5:P26)&gt;32,SUM($Q$5:Q26)&gt;32,SUM($R$5:R26)&gt;32,SUM($S$5:S26)&gt;32,SUM($T$5:T26)&gt;32,SUM($U$5:U26)&gt;32,SUM($V$5:V26)&gt;32,SUM($W$5:W26)&gt;32),"RANK &gt; 32",IF(C26&gt;6,"HAND &gt; 6","OK"))))</f>
        <v/>
      </c>
      <c r="Y26" s="7" t="str">
        <f t="shared" si="3"/>
        <v/>
      </c>
      <c r="Z26" s="7" t="str">
        <f>IF(C26="","",SUM($Y$5:Y26))</f>
        <v/>
      </c>
      <c r="AA26" s="9" t="str">
        <f>IF(C26="","",MAX(0,('Rules &amp; Notes'!$B$4-D26)/'Rules &amp; Notes'!$B$3))</f>
        <v/>
      </c>
      <c r="AB26" s="9" t="str">
        <f t="shared" si="4"/>
        <v/>
      </c>
      <c r="AC26" s="10" t="str">
        <f t="shared" si="5"/>
        <v/>
      </c>
    </row>
    <row r="27" spans="1:29" ht="18" customHeight="1">
      <c r="A27" s="6">
        <v>23</v>
      </c>
      <c r="B27" s="6"/>
      <c r="C27" s="6" t="str">
        <f t="shared" si="0"/>
        <v/>
      </c>
      <c r="D27" s="7" t="str">
        <f>IF(C27="","",SUM($C$5:C27))</f>
        <v/>
      </c>
      <c r="E27" s="7" t="str">
        <f t="shared" si="1"/>
        <v/>
      </c>
      <c r="F27" s="7" t="str">
        <f>IF(C27="","",SUM($E$5:E27))</f>
        <v/>
      </c>
      <c r="G27" s="8" t="str">
        <f>IF(C27="","",IF('Rules &amp; Notes'!$B$4-D27&gt;0,F27/(('Rules &amp; Notes'!$B$4-D27)/'Rules &amp; Notes'!$B$3),""))</f>
        <v/>
      </c>
      <c r="H27" s="43" t="str">
        <f t="shared" si="6"/>
        <v/>
      </c>
      <c r="I27" s="50"/>
      <c r="J27" s="52" t="str">
        <f t="shared" si="2"/>
        <v/>
      </c>
      <c r="K27" s="5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6" t="str">
        <f>IF(C27="","",IF(D27&gt;'Rules &amp; Notes'!$B$4,"TOTAL &gt; 416",IF(OR(SUM($K$5:K27)&gt;32,SUM($L$5:L27)&gt;32,SUM($M$5:M27)&gt;32,SUM($N$5:N27)&gt;32,SUM($O$5:O27)&gt;32,SUM($P$5:P27)&gt;32,SUM($Q$5:Q27)&gt;32,SUM($R$5:R27)&gt;32,SUM($S$5:S27)&gt;32,SUM($T$5:T27)&gt;32,SUM($U$5:U27)&gt;32,SUM($V$5:V27)&gt;32,SUM($W$5:W27)&gt;32),"RANK &gt; 32",IF(C27&gt;6,"HAND &gt; 6","OK"))))</f>
        <v/>
      </c>
      <c r="Y27" s="7" t="str">
        <f t="shared" si="3"/>
        <v/>
      </c>
      <c r="Z27" s="7" t="str">
        <f>IF(C27="","",SUM($Y$5:Y27))</f>
        <v/>
      </c>
      <c r="AA27" s="9" t="str">
        <f>IF(C27="","",MAX(0,('Rules &amp; Notes'!$B$4-D27)/'Rules &amp; Notes'!$B$3))</f>
        <v/>
      </c>
      <c r="AB27" s="9" t="str">
        <f t="shared" si="4"/>
        <v/>
      </c>
      <c r="AC27" s="10" t="str">
        <f t="shared" si="5"/>
        <v/>
      </c>
    </row>
    <row r="28" spans="1:29" ht="18" customHeight="1">
      <c r="A28" s="6">
        <v>24</v>
      </c>
      <c r="B28" s="6"/>
      <c r="C28" s="6" t="str">
        <f t="shared" si="0"/>
        <v/>
      </c>
      <c r="D28" s="7" t="str">
        <f>IF(C28="","",SUM($C$5:C28))</f>
        <v/>
      </c>
      <c r="E28" s="7" t="str">
        <f t="shared" si="1"/>
        <v/>
      </c>
      <c r="F28" s="7" t="str">
        <f>IF(C28="","",SUM($E$5:E28))</f>
        <v/>
      </c>
      <c r="G28" s="8" t="str">
        <f>IF(C28="","",IF('Rules &amp; Notes'!$B$4-D28&gt;0,F28/(('Rules &amp; Notes'!$B$4-D28)/'Rules &amp; Notes'!$B$3),""))</f>
        <v/>
      </c>
      <c r="H28" s="43" t="str">
        <f t="shared" si="6"/>
        <v/>
      </c>
      <c r="I28" s="50"/>
      <c r="J28" s="52" t="str">
        <f t="shared" si="2"/>
        <v/>
      </c>
      <c r="K28" s="5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6" t="str">
        <f>IF(C28="","",IF(D28&gt;'Rules &amp; Notes'!$B$4,"TOTAL &gt; 416",IF(OR(SUM($K$5:K28)&gt;32,SUM($L$5:L28)&gt;32,SUM($M$5:M28)&gt;32,SUM($N$5:N28)&gt;32,SUM($O$5:O28)&gt;32,SUM($P$5:P28)&gt;32,SUM($Q$5:Q28)&gt;32,SUM($R$5:R28)&gt;32,SUM($S$5:S28)&gt;32,SUM($T$5:T28)&gt;32,SUM($U$5:U28)&gt;32,SUM($V$5:V28)&gt;32,SUM($W$5:W28)&gt;32),"RANK &gt; 32",IF(C28&gt;6,"HAND &gt; 6","OK"))))</f>
        <v/>
      </c>
      <c r="Y28" s="7" t="str">
        <f t="shared" si="3"/>
        <v/>
      </c>
      <c r="Z28" s="7" t="str">
        <f>IF(C28="","",SUM($Y$5:Y28))</f>
        <v/>
      </c>
      <c r="AA28" s="9" t="str">
        <f>IF(C28="","",MAX(0,('Rules &amp; Notes'!$B$4-D28)/'Rules &amp; Notes'!$B$3))</f>
        <v/>
      </c>
      <c r="AB28" s="9" t="str">
        <f t="shared" si="4"/>
        <v/>
      </c>
      <c r="AC28" s="10" t="str">
        <f t="shared" si="5"/>
        <v/>
      </c>
    </row>
    <row r="29" spans="1:29" ht="18" customHeight="1">
      <c r="A29" s="6">
        <v>25</v>
      </c>
      <c r="B29" s="6"/>
      <c r="C29" s="6" t="str">
        <f t="shared" si="0"/>
        <v/>
      </c>
      <c r="D29" s="7" t="str">
        <f>IF(C29="","",SUM($C$5:C29))</f>
        <v/>
      </c>
      <c r="E29" s="7" t="str">
        <f t="shared" si="1"/>
        <v/>
      </c>
      <c r="F29" s="7" t="str">
        <f>IF(C29="","",SUM($E$5:E29))</f>
        <v/>
      </c>
      <c r="G29" s="8" t="str">
        <f>IF(C29="","",IF('Rules &amp; Notes'!$B$4-D29&gt;0,F29/(('Rules &amp; Notes'!$B$4-D29)/'Rules &amp; Notes'!$B$3),""))</f>
        <v/>
      </c>
      <c r="H29" s="43" t="str">
        <f t="shared" si="6"/>
        <v/>
      </c>
      <c r="I29" s="50"/>
      <c r="J29" s="52" t="str">
        <f t="shared" si="2"/>
        <v/>
      </c>
      <c r="K29" s="5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6" t="str">
        <f>IF(C29="","",IF(D29&gt;'Rules &amp; Notes'!$B$4,"TOTAL &gt; 416",IF(OR(SUM($K$5:K29)&gt;32,SUM($L$5:L29)&gt;32,SUM($M$5:M29)&gt;32,SUM($N$5:N29)&gt;32,SUM($O$5:O29)&gt;32,SUM($P$5:P29)&gt;32,SUM($Q$5:Q29)&gt;32,SUM($R$5:R29)&gt;32,SUM($S$5:S29)&gt;32,SUM($T$5:T29)&gt;32,SUM($U$5:U29)&gt;32,SUM($V$5:V29)&gt;32,SUM($W$5:W29)&gt;32),"RANK &gt; 32",IF(C29&gt;6,"HAND &gt; 6","OK"))))</f>
        <v/>
      </c>
      <c r="Y29" s="7" t="str">
        <f t="shared" si="3"/>
        <v/>
      </c>
      <c r="Z29" s="7" t="str">
        <f>IF(C29="","",SUM($Y$5:Y29))</f>
        <v/>
      </c>
      <c r="AA29" s="9" t="str">
        <f>IF(C29="","",MAX(0,('Rules &amp; Notes'!$B$4-D29)/'Rules &amp; Notes'!$B$3))</f>
        <v/>
      </c>
      <c r="AB29" s="9" t="str">
        <f t="shared" si="4"/>
        <v/>
      </c>
      <c r="AC29" s="10" t="str">
        <f t="shared" si="5"/>
        <v/>
      </c>
    </row>
    <row r="30" spans="1:29" ht="18" customHeight="1">
      <c r="A30" s="6">
        <v>26</v>
      </c>
      <c r="B30" s="6"/>
      <c r="C30" s="6" t="str">
        <f t="shared" si="0"/>
        <v/>
      </c>
      <c r="D30" s="7" t="str">
        <f>IF(C30="","",SUM($C$5:C30))</f>
        <v/>
      </c>
      <c r="E30" s="7" t="str">
        <f t="shared" si="1"/>
        <v/>
      </c>
      <c r="F30" s="7" t="str">
        <f>IF(C30="","",SUM($E$5:E30))</f>
        <v/>
      </c>
      <c r="G30" s="8" t="str">
        <f>IF(C30="","",IF('Rules &amp; Notes'!$B$4-D30&gt;0,F30/(('Rules &amp; Notes'!$B$4-D30)/'Rules &amp; Notes'!$B$3),""))</f>
        <v/>
      </c>
      <c r="H30" s="43" t="str">
        <f t="shared" si="6"/>
        <v/>
      </c>
      <c r="I30" s="50"/>
      <c r="J30" s="52" t="str">
        <f t="shared" si="2"/>
        <v/>
      </c>
      <c r="K30" s="5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6" t="str">
        <f>IF(C30="","",IF(D30&gt;'Rules &amp; Notes'!$B$4,"TOTAL &gt; 416",IF(OR(SUM($K$5:K30)&gt;32,SUM($L$5:L30)&gt;32,SUM($M$5:M30)&gt;32,SUM($N$5:N30)&gt;32,SUM($O$5:O30)&gt;32,SUM($P$5:P30)&gt;32,SUM($Q$5:Q30)&gt;32,SUM($R$5:R30)&gt;32,SUM($S$5:S30)&gt;32,SUM($T$5:T30)&gt;32,SUM($U$5:U30)&gt;32,SUM($V$5:V30)&gt;32,SUM($W$5:W30)&gt;32),"RANK &gt; 32",IF(C30&gt;6,"HAND &gt; 6","OK"))))</f>
        <v/>
      </c>
      <c r="Y30" s="7" t="str">
        <f t="shared" si="3"/>
        <v/>
      </c>
      <c r="Z30" s="7" t="str">
        <f>IF(C30="","",SUM($Y$5:Y30))</f>
        <v/>
      </c>
      <c r="AA30" s="9" t="str">
        <f>IF(C30="","",MAX(0,('Rules &amp; Notes'!$B$4-D30)/'Rules &amp; Notes'!$B$3))</f>
        <v/>
      </c>
      <c r="AB30" s="9" t="str">
        <f t="shared" si="4"/>
        <v/>
      </c>
      <c r="AC30" s="10" t="str">
        <f t="shared" si="5"/>
        <v/>
      </c>
    </row>
    <row r="31" spans="1:29" ht="18" customHeight="1">
      <c r="A31" s="6">
        <v>27</v>
      </c>
      <c r="B31" s="6"/>
      <c r="C31" s="6" t="str">
        <f t="shared" si="0"/>
        <v/>
      </c>
      <c r="D31" s="7" t="str">
        <f>IF(C31="","",SUM($C$5:C31))</f>
        <v/>
      </c>
      <c r="E31" s="7" t="str">
        <f t="shared" si="1"/>
        <v/>
      </c>
      <c r="F31" s="7" t="str">
        <f>IF(C31="","",SUM($E$5:E31))</f>
        <v/>
      </c>
      <c r="G31" s="8" t="str">
        <f>IF(C31="","",IF('Rules &amp; Notes'!$B$4-D31&gt;0,F31/(('Rules &amp; Notes'!$B$4-D31)/'Rules &amp; Notes'!$B$3),""))</f>
        <v/>
      </c>
      <c r="H31" s="43" t="str">
        <f t="shared" si="6"/>
        <v/>
      </c>
      <c r="I31" s="50"/>
      <c r="J31" s="52" t="str">
        <f t="shared" si="2"/>
        <v/>
      </c>
      <c r="K31" s="5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6" t="str">
        <f>IF(C31="","",IF(D31&gt;'Rules &amp; Notes'!$B$4,"TOTAL &gt; 416",IF(OR(SUM($K$5:K31)&gt;32,SUM($L$5:L31)&gt;32,SUM($M$5:M31)&gt;32,SUM($N$5:N31)&gt;32,SUM($O$5:O31)&gt;32,SUM($P$5:P31)&gt;32,SUM($Q$5:Q31)&gt;32,SUM($R$5:R31)&gt;32,SUM($S$5:S31)&gt;32,SUM($T$5:T31)&gt;32,SUM($U$5:U31)&gt;32,SUM($V$5:V31)&gt;32,SUM($W$5:W31)&gt;32),"RANK &gt; 32",IF(C31&gt;6,"HAND &gt; 6","OK"))))</f>
        <v/>
      </c>
      <c r="Y31" s="7" t="str">
        <f t="shared" si="3"/>
        <v/>
      </c>
      <c r="Z31" s="7" t="str">
        <f>IF(C31="","",SUM($Y$5:Y31))</f>
        <v/>
      </c>
      <c r="AA31" s="9" t="str">
        <f>IF(C31="","",MAX(0,('Rules &amp; Notes'!$B$4-D31)/'Rules &amp; Notes'!$B$3))</f>
        <v/>
      </c>
      <c r="AB31" s="9" t="str">
        <f t="shared" si="4"/>
        <v/>
      </c>
      <c r="AC31" s="10" t="str">
        <f t="shared" si="5"/>
        <v/>
      </c>
    </row>
    <row r="32" spans="1:29" ht="18" customHeight="1">
      <c r="A32" s="6">
        <v>28</v>
      </c>
      <c r="B32" s="6"/>
      <c r="C32" s="6" t="str">
        <f t="shared" si="0"/>
        <v/>
      </c>
      <c r="D32" s="7" t="str">
        <f>IF(C32="","",SUM($C$5:C32))</f>
        <v/>
      </c>
      <c r="E32" s="7" t="str">
        <f t="shared" si="1"/>
        <v/>
      </c>
      <c r="F32" s="7" t="str">
        <f>IF(C32="","",SUM($E$5:E32))</f>
        <v/>
      </c>
      <c r="G32" s="8" t="str">
        <f>IF(C32="","",IF('Rules &amp; Notes'!$B$4-D32&gt;0,F32/(('Rules &amp; Notes'!$B$4-D32)/'Rules &amp; Notes'!$B$3),""))</f>
        <v/>
      </c>
      <c r="H32" s="43" t="str">
        <f t="shared" si="6"/>
        <v/>
      </c>
      <c r="I32" s="50"/>
      <c r="J32" s="52" t="str">
        <f t="shared" si="2"/>
        <v/>
      </c>
      <c r="K32" s="5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6" t="str">
        <f>IF(C32="","",IF(D32&gt;'Rules &amp; Notes'!$B$4,"TOTAL &gt; 416",IF(OR(SUM($K$5:K32)&gt;32,SUM($L$5:L32)&gt;32,SUM($M$5:M32)&gt;32,SUM($N$5:N32)&gt;32,SUM($O$5:O32)&gt;32,SUM($P$5:P32)&gt;32,SUM($Q$5:Q32)&gt;32,SUM($R$5:R32)&gt;32,SUM($S$5:S32)&gt;32,SUM($T$5:T32)&gt;32,SUM($U$5:U32)&gt;32,SUM($V$5:V32)&gt;32,SUM($W$5:W32)&gt;32),"RANK &gt; 32",IF(C32&gt;6,"HAND &gt; 6","OK"))))</f>
        <v/>
      </c>
      <c r="Y32" s="7" t="str">
        <f t="shared" si="3"/>
        <v/>
      </c>
      <c r="Z32" s="7" t="str">
        <f>IF(C32="","",SUM($Y$5:Y32))</f>
        <v/>
      </c>
      <c r="AA32" s="9" t="str">
        <f>IF(C32="","",MAX(0,('Rules &amp; Notes'!$B$4-D32)/'Rules &amp; Notes'!$B$3))</f>
        <v/>
      </c>
      <c r="AB32" s="9" t="str">
        <f t="shared" si="4"/>
        <v/>
      </c>
      <c r="AC32" s="10" t="str">
        <f t="shared" si="5"/>
        <v/>
      </c>
    </row>
    <row r="33" spans="1:29" ht="18" customHeight="1">
      <c r="A33" s="6">
        <v>29</v>
      </c>
      <c r="B33" s="6"/>
      <c r="C33" s="6" t="str">
        <f t="shared" si="0"/>
        <v/>
      </c>
      <c r="D33" s="7" t="str">
        <f>IF(C33="","",SUM($C$5:C33))</f>
        <v/>
      </c>
      <c r="E33" s="7" t="str">
        <f t="shared" si="1"/>
        <v/>
      </c>
      <c r="F33" s="7" t="str">
        <f>IF(C33="","",SUM($E$5:E33))</f>
        <v/>
      </c>
      <c r="G33" s="8" t="str">
        <f>IF(C33="","",IF('Rules &amp; Notes'!$B$4-D33&gt;0,F33/(('Rules &amp; Notes'!$B$4-D33)/'Rules &amp; Notes'!$B$3),""))</f>
        <v/>
      </c>
      <c r="H33" s="43" t="str">
        <f t="shared" si="6"/>
        <v/>
      </c>
      <c r="I33" s="50"/>
      <c r="J33" s="52" t="str">
        <f t="shared" si="2"/>
        <v/>
      </c>
      <c r="K33" s="5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6" t="str">
        <f>IF(C33="","",IF(D33&gt;'Rules &amp; Notes'!$B$4,"TOTAL &gt; 416",IF(OR(SUM($K$5:K33)&gt;32,SUM($L$5:L33)&gt;32,SUM($M$5:M33)&gt;32,SUM($N$5:N33)&gt;32,SUM($O$5:O33)&gt;32,SUM($P$5:P33)&gt;32,SUM($Q$5:Q33)&gt;32,SUM($R$5:R33)&gt;32,SUM($S$5:S33)&gt;32,SUM($T$5:T33)&gt;32,SUM($U$5:U33)&gt;32,SUM($V$5:V33)&gt;32,SUM($W$5:W33)&gt;32),"RANK &gt; 32",IF(C33&gt;6,"HAND &gt; 6","OK"))))</f>
        <v/>
      </c>
      <c r="Y33" s="7" t="str">
        <f t="shared" si="3"/>
        <v/>
      </c>
      <c r="Z33" s="7" t="str">
        <f>IF(C33="","",SUM($Y$5:Y33))</f>
        <v/>
      </c>
      <c r="AA33" s="9" t="str">
        <f>IF(C33="","",MAX(0,('Rules &amp; Notes'!$B$4-D33)/'Rules &amp; Notes'!$B$3))</f>
        <v/>
      </c>
      <c r="AB33" s="9" t="str">
        <f t="shared" si="4"/>
        <v/>
      </c>
      <c r="AC33" s="10" t="str">
        <f t="shared" si="5"/>
        <v/>
      </c>
    </row>
    <row r="34" spans="1:29" ht="18" customHeight="1">
      <c r="A34" s="6">
        <v>30</v>
      </c>
      <c r="B34" s="6"/>
      <c r="C34" s="6" t="str">
        <f t="shared" si="0"/>
        <v/>
      </c>
      <c r="D34" s="7" t="str">
        <f>IF(C34="","",SUM($C$5:C34))</f>
        <v/>
      </c>
      <c r="E34" s="7" t="str">
        <f t="shared" si="1"/>
        <v/>
      </c>
      <c r="F34" s="7" t="str">
        <f>IF(C34="","",SUM($E$5:E34))</f>
        <v/>
      </c>
      <c r="G34" s="8" t="str">
        <f>IF(C34="","",IF('Rules &amp; Notes'!$B$4-D34&gt;0,F34/(('Rules &amp; Notes'!$B$4-D34)/'Rules &amp; Notes'!$B$3),""))</f>
        <v/>
      </c>
      <c r="H34" s="43" t="str">
        <f t="shared" si="6"/>
        <v/>
      </c>
      <c r="I34" s="50"/>
      <c r="J34" s="52" t="str">
        <f t="shared" si="2"/>
        <v/>
      </c>
      <c r="K34" s="5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6" t="str">
        <f>IF(C34="","",IF(D34&gt;'Rules &amp; Notes'!$B$4,"TOTAL &gt; 416",IF(OR(SUM($K$5:K34)&gt;32,SUM($L$5:L34)&gt;32,SUM($M$5:M34)&gt;32,SUM($N$5:N34)&gt;32,SUM($O$5:O34)&gt;32,SUM($P$5:P34)&gt;32,SUM($Q$5:Q34)&gt;32,SUM($R$5:R34)&gt;32,SUM($S$5:S34)&gt;32,SUM($T$5:T34)&gt;32,SUM($U$5:U34)&gt;32,SUM($V$5:V34)&gt;32,SUM($W$5:W34)&gt;32),"RANK &gt; 32",IF(C34&gt;6,"HAND &gt; 6","OK"))))</f>
        <v/>
      </c>
      <c r="Y34" s="7" t="str">
        <f t="shared" si="3"/>
        <v/>
      </c>
      <c r="Z34" s="7" t="str">
        <f>IF(C34="","",SUM($Y$5:Y34))</f>
        <v/>
      </c>
      <c r="AA34" s="9" t="str">
        <f>IF(C34="","",MAX(0,('Rules &amp; Notes'!$B$4-D34)/'Rules &amp; Notes'!$B$3))</f>
        <v/>
      </c>
      <c r="AB34" s="9" t="str">
        <f t="shared" si="4"/>
        <v/>
      </c>
      <c r="AC34" s="10" t="str">
        <f t="shared" si="5"/>
        <v/>
      </c>
    </row>
    <row r="35" spans="1:29" ht="18" customHeight="1">
      <c r="A35" s="6">
        <v>31</v>
      </c>
      <c r="B35" s="6"/>
      <c r="C35" s="6" t="str">
        <f t="shared" si="0"/>
        <v/>
      </c>
      <c r="D35" s="7" t="str">
        <f>IF(C35="","",SUM($C$5:C35))</f>
        <v/>
      </c>
      <c r="E35" s="7" t="str">
        <f t="shared" si="1"/>
        <v/>
      </c>
      <c r="F35" s="7" t="str">
        <f>IF(C35="","",SUM($E$5:E35))</f>
        <v/>
      </c>
      <c r="G35" s="8" t="str">
        <f>IF(C35="","",IF('Rules &amp; Notes'!$B$4-D35&gt;0,F35/(('Rules &amp; Notes'!$B$4-D35)/'Rules &amp; Notes'!$B$3),""))</f>
        <v/>
      </c>
      <c r="H35" s="43" t="str">
        <f t="shared" si="6"/>
        <v/>
      </c>
      <c r="I35" s="50"/>
      <c r="J35" s="52" t="str">
        <f t="shared" si="2"/>
        <v/>
      </c>
      <c r="K35" s="5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6" t="str">
        <f>IF(C35="","",IF(D35&gt;'Rules &amp; Notes'!$B$4,"TOTAL &gt; 416",IF(OR(SUM($K$5:K35)&gt;32,SUM($L$5:L35)&gt;32,SUM($M$5:M35)&gt;32,SUM($N$5:N35)&gt;32,SUM($O$5:O35)&gt;32,SUM($P$5:P35)&gt;32,SUM($Q$5:Q35)&gt;32,SUM($R$5:R35)&gt;32,SUM($S$5:S35)&gt;32,SUM($T$5:T35)&gt;32,SUM($U$5:U35)&gt;32,SUM($V$5:V35)&gt;32,SUM($W$5:W35)&gt;32),"RANK &gt; 32",IF(C35&gt;6,"HAND &gt; 6","OK"))))</f>
        <v/>
      </c>
      <c r="Y35" s="7" t="str">
        <f t="shared" si="3"/>
        <v/>
      </c>
      <c r="Z35" s="7" t="str">
        <f>IF(C35="","",SUM($Y$5:Y35))</f>
        <v/>
      </c>
      <c r="AA35" s="9" t="str">
        <f>IF(C35="","",MAX(0,('Rules &amp; Notes'!$B$4-D35)/'Rules &amp; Notes'!$B$3))</f>
        <v/>
      </c>
      <c r="AB35" s="9" t="str">
        <f t="shared" si="4"/>
        <v/>
      </c>
      <c r="AC35" s="10" t="str">
        <f t="shared" si="5"/>
        <v/>
      </c>
    </row>
    <row r="36" spans="1:29" ht="18" customHeight="1">
      <c r="A36" s="6">
        <v>32</v>
      </c>
      <c r="B36" s="6"/>
      <c r="C36" s="6" t="str">
        <f t="shared" si="0"/>
        <v/>
      </c>
      <c r="D36" s="7" t="str">
        <f>IF(C36="","",SUM($C$5:C36))</f>
        <v/>
      </c>
      <c r="E36" s="7" t="str">
        <f t="shared" si="1"/>
        <v/>
      </c>
      <c r="F36" s="7" t="str">
        <f>IF(C36="","",SUM($E$5:E36))</f>
        <v/>
      </c>
      <c r="G36" s="8" t="str">
        <f>IF(C36="","",IF('Rules &amp; Notes'!$B$4-D36&gt;0,F36/(('Rules &amp; Notes'!$B$4-D36)/'Rules &amp; Notes'!$B$3),""))</f>
        <v/>
      </c>
      <c r="H36" s="43" t="str">
        <f t="shared" si="6"/>
        <v/>
      </c>
      <c r="I36" s="50"/>
      <c r="J36" s="52" t="str">
        <f t="shared" si="2"/>
        <v/>
      </c>
      <c r="K36" s="5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6" t="str">
        <f>IF(C36="","",IF(D36&gt;'Rules &amp; Notes'!$B$4,"TOTAL &gt; 416",IF(OR(SUM($K$5:K36)&gt;32,SUM($L$5:L36)&gt;32,SUM($M$5:M36)&gt;32,SUM($N$5:N36)&gt;32,SUM($O$5:O36)&gt;32,SUM($P$5:P36)&gt;32,SUM($Q$5:Q36)&gt;32,SUM($R$5:R36)&gt;32,SUM($S$5:S36)&gt;32,SUM($T$5:T36)&gt;32,SUM($U$5:U36)&gt;32,SUM($V$5:V36)&gt;32,SUM($W$5:W36)&gt;32),"RANK &gt; 32",IF(C36&gt;6,"HAND &gt; 6","OK"))))</f>
        <v/>
      </c>
      <c r="Y36" s="7" t="str">
        <f t="shared" si="3"/>
        <v/>
      </c>
      <c r="Z36" s="7" t="str">
        <f>IF(C36="","",SUM($Y$5:Y36))</f>
        <v/>
      </c>
      <c r="AA36" s="9" t="str">
        <f>IF(C36="","",MAX(0,('Rules &amp; Notes'!$B$4-D36)/'Rules &amp; Notes'!$B$3))</f>
        <v/>
      </c>
      <c r="AB36" s="9" t="str">
        <f t="shared" si="4"/>
        <v/>
      </c>
      <c r="AC36" s="10" t="str">
        <f t="shared" si="5"/>
        <v/>
      </c>
    </row>
    <row r="37" spans="1:29" ht="18" customHeight="1">
      <c r="A37" s="6">
        <v>33</v>
      </c>
      <c r="B37" s="6"/>
      <c r="C37" s="6" t="str">
        <f t="shared" ref="C37:C54" si="7">IF(SUM(K37:W37)=0,"",SUM(K37:W37))</f>
        <v/>
      </c>
      <c r="D37" s="7" t="str">
        <f>IF(C37="","",SUM($C$5:C37))</f>
        <v/>
      </c>
      <c r="E37" s="7" t="str">
        <f t="shared" ref="E37:E54" si="8">IF(C37="","",K37+L37+M37+2*N37-O37-2*P37-Q37-R37)</f>
        <v/>
      </c>
      <c r="F37" s="7" t="str">
        <f>IF(C37="","",SUM($E$5:E37))</f>
        <v/>
      </c>
      <c r="G37" s="8" t="str">
        <f>IF(C37="","",IF('Rules &amp; Notes'!$B$4-D37&gt;0,F37/(('Rules &amp; Notes'!$B$4-D37)/'Rules &amp; Notes'!$B$3),""))</f>
        <v/>
      </c>
      <c r="H37" s="43" t="str">
        <f t="shared" ref="H37:H54" si="9">""</f>
        <v/>
      </c>
      <c r="I37" s="50"/>
      <c r="J37" s="52" t="str">
        <f t="shared" ref="J37:J54" si="10">IF(H37="","",IF($D$2="","Set table min",IF($D$2&lt;=0,"Check table min",IF(H37&lt;$D$2,"Below table min","1-to-"&amp;IF(H37/$D$2=INT(H37/$D$2),TEXT(H37/$D$2,"0"),TEXT(H37/$D$2,"0.##"))))))</f>
        <v/>
      </c>
      <c r="K37" s="5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6" t="str">
        <f>IF(C37="","",IF(D37&gt;'Rules &amp; Notes'!$B$4,"TOTAL &gt; 416",IF(OR(SUM($K$5:K37)&gt;32,SUM($L$5:L37)&gt;32,SUM($M$5:M37)&gt;32,SUM($N$5:N37)&gt;32,SUM($O$5:O37)&gt;32,SUM($P$5:P37)&gt;32,SUM($Q$5:Q37)&gt;32,SUM($R$5:R37)&gt;32,SUM($S$5:S37)&gt;32,SUM($T$5:T37)&gt;32,SUM($U$5:U37)&gt;32,SUM($V$5:V37)&gt;32,SUM($W$5:W37)&gt;32),"RANK &gt; 32",IF(C37&gt;6,"HAND &gt; 6","OK"))))</f>
        <v/>
      </c>
      <c r="Y37" s="7" t="str">
        <f t="shared" ref="Y37:Y54" si="11">IF(C37="","",K37-M37-N37-O37-6*Q37+2*R37+2*S37+T37+U37+V37+W37)</f>
        <v/>
      </c>
      <c r="Z37" s="7" t="str">
        <f>IF(C37="","",SUM($Y$5:Y37))</f>
        <v/>
      </c>
      <c r="AA37" s="9" t="str">
        <f>IF(C37="","",MAX(0,('Rules &amp; Notes'!$B$4-D37)/'Rules &amp; Notes'!$B$3))</f>
        <v/>
      </c>
      <c r="AB37" s="9" t="str">
        <f t="shared" ref="AB37:AB54" si="12">IF(OR(C37="",AA37=0),"",Z37/AA37)</f>
        <v/>
      </c>
      <c r="AC37" s="10" t="str">
        <f t="shared" ref="AC37:AC54" si="13">IF(C37="","",IF(X37&lt;&gt;"OK","CHECK INPUT",IF(AB37&gt;=4,"AT/ABOVE +4 TRIGGER","Below +4 trigger")))</f>
        <v/>
      </c>
    </row>
    <row r="38" spans="1:29" ht="18" customHeight="1">
      <c r="A38" s="6">
        <v>34</v>
      </c>
      <c r="B38" s="6"/>
      <c r="C38" s="6" t="str">
        <f t="shared" si="7"/>
        <v/>
      </c>
      <c r="D38" s="7" t="str">
        <f>IF(C38="","",SUM($C$5:C38))</f>
        <v/>
      </c>
      <c r="E38" s="7" t="str">
        <f t="shared" si="8"/>
        <v/>
      </c>
      <c r="F38" s="7" t="str">
        <f>IF(C38="","",SUM($E$5:E38))</f>
        <v/>
      </c>
      <c r="G38" s="8" t="str">
        <f>IF(C38="","",IF('Rules &amp; Notes'!$B$4-D38&gt;0,F38/(('Rules &amp; Notes'!$B$4-D38)/'Rules &amp; Notes'!$B$3),""))</f>
        <v/>
      </c>
      <c r="H38" s="43" t="str">
        <f t="shared" si="9"/>
        <v/>
      </c>
      <c r="I38" s="50"/>
      <c r="J38" s="52" t="str">
        <f t="shared" si="10"/>
        <v/>
      </c>
      <c r="K38" s="5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6" t="str">
        <f>IF(C38="","",IF(D38&gt;'Rules &amp; Notes'!$B$4,"TOTAL &gt; 416",IF(OR(SUM($K$5:K38)&gt;32,SUM($L$5:L38)&gt;32,SUM($M$5:M38)&gt;32,SUM($N$5:N38)&gt;32,SUM($O$5:O38)&gt;32,SUM($P$5:P38)&gt;32,SUM($Q$5:Q38)&gt;32,SUM($R$5:R38)&gt;32,SUM($S$5:S38)&gt;32,SUM($T$5:T38)&gt;32,SUM($U$5:U38)&gt;32,SUM($V$5:V38)&gt;32,SUM($W$5:W38)&gt;32),"RANK &gt; 32",IF(C38&gt;6,"HAND &gt; 6","OK"))))</f>
        <v/>
      </c>
      <c r="Y38" s="7" t="str">
        <f t="shared" si="11"/>
        <v/>
      </c>
      <c r="Z38" s="7" t="str">
        <f>IF(C38="","",SUM($Y$5:Y38))</f>
        <v/>
      </c>
      <c r="AA38" s="9" t="str">
        <f>IF(C38="","",MAX(0,('Rules &amp; Notes'!$B$4-D38)/'Rules &amp; Notes'!$B$3))</f>
        <v/>
      </c>
      <c r="AB38" s="9" t="str">
        <f t="shared" si="12"/>
        <v/>
      </c>
      <c r="AC38" s="10" t="str">
        <f t="shared" si="13"/>
        <v/>
      </c>
    </row>
    <row r="39" spans="1:29" ht="18" customHeight="1">
      <c r="A39" s="6">
        <v>35</v>
      </c>
      <c r="B39" s="6"/>
      <c r="C39" s="6" t="str">
        <f t="shared" si="7"/>
        <v/>
      </c>
      <c r="D39" s="7" t="str">
        <f>IF(C39="","",SUM($C$5:C39))</f>
        <v/>
      </c>
      <c r="E39" s="7" t="str">
        <f t="shared" si="8"/>
        <v/>
      </c>
      <c r="F39" s="7" t="str">
        <f>IF(C39="","",SUM($E$5:E39))</f>
        <v/>
      </c>
      <c r="G39" s="8" t="str">
        <f>IF(C39="","",IF('Rules &amp; Notes'!$B$4-D39&gt;0,F39/(('Rules &amp; Notes'!$B$4-D39)/'Rules &amp; Notes'!$B$3),""))</f>
        <v/>
      </c>
      <c r="H39" s="43" t="str">
        <f t="shared" si="9"/>
        <v/>
      </c>
      <c r="I39" s="50"/>
      <c r="J39" s="52" t="str">
        <f t="shared" si="10"/>
        <v/>
      </c>
      <c r="K39" s="5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6" t="str">
        <f>IF(C39="","",IF(D39&gt;'Rules &amp; Notes'!$B$4,"TOTAL &gt; 416",IF(OR(SUM($K$5:K39)&gt;32,SUM($L$5:L39)&gt;32,SUM($M$5:M39)&gt;32,SUM($N$5:N39)&gt;32,SUM($O$5:O39)&gt;32,SUM($P$5:P39)&gt;32,SUM($Q$5:Q39)&gt;32,SUM($R$5:R39)&gt;32,SUM($S$5:S39)&gt;32,SUM($T$5:T39)&gt;32,SUM($U$5:U39)&gt;32,SUM($V$5:V39)&gt;32,SUM($W$5:W39)&gt;32),"RANK &gt; 32",IF(C39&gt;6,"HAND &gt; 6","OK"))))</f>
        <v/>
      </c>
      <c r="Y39" s="7" t="str">
        <f t="shared" si="11"/>
        <v/>
      </c>
      <c r="Z39" s="7" t="str">
        <f>IF(C39="","",SUM($Y$5:Y39))</f>
        <v/>
      </c>
      <c r="AA39" s="9" t="str">
        <f>IF(C39="","",MAX(0,('Rules &amp; Notes'!$B$4-D39)/'Rules &amp; Notes'!$B$3))</f>
        <v/>
      </c>
      <c r="AB39" s="9" t="str">
        <f t="shared" si="12"/>
        <v/>
      </c>
      <c r="AC39" s="10" t="str">
        <f t="shared" si="13"/>
        <v/>
      </c>
    </row>
    <row r="40" spans="1:29" ht="18" customHeight="1">
      <c r="A40" s="6">
        <v>36</v>
      </c>
      <c r="B40" s="6"/>
      <c r="C40" s="6" t="str">
        <f t="shared" si="7"/>
        <v/>
      </c>
      <c r="D40" s="7" t="str">
        <f>IF(C40="","",SUM($C$5:C40))</f>
        <v/>
      </c>
      <c r="E40" s="7" t="str">
        <f t="shared" si="8"/>
        <v/>
      </c>
      <c r="F40" s="7" t="str">
        <f>IF(C40="","",SUM($E$5:E40))</f>
        <v/>
      </c>
      <c r="G40" s="8" t="str">
        <f>IF(C40="","",IF('Rules &amp; Notes'!$B$4-D40&gt;0,F40/(('Rules &amp; Notes'!$B$4-D40)/'Rules &amp; Notes'!$B$3),""))</f>
        <v/>
      </c>
      <c r="H40" s="43" t="str">
        <f t="shared" si="9"/>
        <v/>
      </c>
      <c r="I40" s="50"/>
      <c r="J40" s="52" t="str">
        <f t="shared" si="10"/>
        <v/>
      </c>
      <c r="K40" s="5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6" t="str">
        <f>IF(C40="","",IF(D40&gt;'Rules &amp; Notes'!$B$4,"TOTAL &gt; 416",IF(OR(SUM($K$5:K40)&gt;32,SUM($L$5:L40)&gt;32,SUM($M$5:M40)&gt;32,SUM($N$5:N40)&gt;32,SUM($O$5:O40)&gt;32,SUM($P$5:P40)&gt;32,SUM($Q$5:Q40)&gt;32,SUM($R$5:R40)&gt;32,SUM($S$5:S40)&gt;32,SUM($T$5:T40)&gt;32,SUM($U$5:U40)&gt;32,SUM($V$5:V40)&gt;32,SUM($W$5:W40)&gt;32),"RANK &gt; 32",IF(C40&gt;6,"HAND &gt; 6","OK"))))</f>
        <v/>
      </c>
      <c r="Y40" s="7" t="str">
        <f t="shared" si="11"/>
        <v/>
      </c>
      <c r="Z40" s="7" t="str">
        <f>IF(C40="","",SUM($Y$5:Y40))</f>
        <v/>
      </c>
      <c r="AA40" s="9" t="str">
        <f>IF(C40="","",MAX(0,('Rules &amp; Notes'!$B$4-D40)/'Rules &amp; Notes'!$B$3))</f>
        <v/>
      </c>
      <c r="AB40" s="9" t="str">
        <f t="shared" si="12"/>
        <v/>
      </c>
      <c r="AC40" s="10" t="str">
        <f t="shared" si="13"/>
        <v/>
      </c>
    </row>
    <row r="41" spans="1:29" ht="18" customHeight="1">
      <c r="A41" s="6">
        <v>37</v>
      </c>
      <c r="B41" s="6"/>
      <c r="C41" s="6" t="str">
        <f t="shared" si="7"/>
        <v/>
      </c>
      <c r="D41" s="7" t="str">
        <f>IF(C41="","",SUM($C$5:C41))</f>
        <v/>
      </c>
      <c r="E41" s="7" t="str">
        <f t="shared" si="8"/>
        <v/>
      </c>
      <c r="F41" s="7" t="str">
        <f>IF(C41="","",SUM($E$5:E41))</f>
        <v/>
      </c>
      <c r="G41" s="8" t="str">
        <f>IF(C41="","",IF('Rules &amp; Notes'!$B$4-D41&gt;0,F41/(('Rules &amp; Notes'!$B$4-D41)/'Rules &amp; Notes'!$B$3),""))</f>
        <v/>
      </c>
      <c r="H41" s="43" t="str">
        <f t="shared" si="9"/>
        <v/>
      </c>
      <c r="I41" s="50"/>
      <c r="J41" s="52" t="str">
        <f t="shared" si="10"/>
        <v/>
      </c>
      <c r="K41" s="5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6" t="str">
        <f>IF(C41="","",IF(D41&gt;'Rules &amp; Notes'!$B$4,"TOTAL &gt; 416",IF(OR(SUM($K$5:K41)&gt;32,SUM($L$5:L41)&gt;32,SUM($M$5:M41)&gt;32,SUM($N$5:N41)&gt;32,SUM($O$5:O41)&gt;32,SUM($P$5:P41)&gt;32,SUM($Q$5:Q41)&gt;32,SUM($R$5:R41)&gt;32,SUM($S$5:S41)&gt;32,SUM($T$5:T41)&gt;32,SUM($U$5:U41)&gt;32,SUM($V$5:V41)&gt;32,SUM($W$5:W41)&gt;32),"RANK &gt; 32",IF(C41&gt;6,"HAND &gt; 6","OK"))))</f>
        <v/>
      </c>
      <c r="Y41" s="7" t="str">
        <f t="shared" si="11"/>
        <v/>
      </c>
      <c r="Z41" s="7" t="str">
        <f>IF(C41="","",SUM($Y$5:Y41))</f>
        <v/>
      </c>
      <c r="AA41" s="9" t="str">
        <f>IF(C41="","",MAX(0,('Rules &amp; Notes'!$B$4-D41)/'Rules &amp; Notes'!$B$3))</f>
        <v/>
      </c>
      <c r="AB41" s="9" t="str">
        <f t="shared" si="12"/>
        <v/>
      </c>
      <c r="AC41" s="10" t="str">
        <f t="shared" si="13"/>
        <v/>
      </c>
    </row>
    <row r="42" spans="1:29" ht="18" customHeight="1">
      <c r="A42" s="6">
        <v>38</v>
      </c>
      <c r="B42" s="6"/>
      <c r="C42" s="6" t="str">
        <f t="shared" si="7"/>
        <v/>
      </c>
      <c r="D42" s="7" t="str">
        <f>IF(C42="","",SUM($C$5:C42))</f>
        <v/>
      </c>
      <c r="E42" s="7" t="str">
        <f t="shared" si="8"/>
        <v/>
      </c>
      <c r="F42" s="7" t="str">
        <f>IF(C42="","",SUM($E$5:E42))</f>
        <v/>
      </c>
      <c r="G42" s="8" t="str">
        <f>IF(C42="","",IF('Rules &amp; Notes'!$B$4-D42&gt;0,F42/(('Rules &amp; Notes'!$B$4-D42)/'Rules &amp; Notes'!$B$3),""))</f>
        <v/>
      </c>
      <c r="H42" s="43" t="str">
        <f t="shared" si="9"/>
        <v/>
      </c>
      <c r="I42" s="50"/>
      <c r="J42" s="52" t="str">
        <f t="shared" si="10"/>
        <v/>
      </c>
      <c r="K42" s="5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6" t="str">
        <f>IF(C42="","",IF(D42&gt;'Rules &amp; Notes'!$B$4,"TOTAL &gt; 416",IF(OR(SUM($K$5:K42)&gt;32,SUM($L$5:L42)&gt;32,SUM($M$5:M42)&gt;32,SUM($N$5:N42)&gt;32,SUM($O$5:O42)&gt;32,SUM($P$5:P42)&gt;32,SUM($Q$5:Q42)&gt;32,SUM($R$5:R42)&gt;32,SUM($S$5:S42)&gt;32,SUM($T$5:T42)&gt;32,SUM($U$5:U42)&gt;32,SUM($V$5:V42)&gt;32,SUM($W$5:W42)&gt;32),"RANK &gt; 32",IF(C42&gt;6,"HAND &gt; 6","OK"))))</f>
        <v/>
      </c>
      <c r="Y42" s="7" t="str">
        <f t="shared" si="11"/>
        <v/>
      </c>
      <c r="Z42" s="7" t="str">
        <f>IF(C42="","",SUM($Y$5:Y42))</f>
        <v/>
      </c>
      <c r="AA42" s="9" t="str">
        <f>IF(C42="","",MAX(0,('Rules &amp; Notes'!$B$4-D42)/'Rules &amp; Notes'!$B$3))</f>
        <v/>
      </c>
      <c r="AB42" s="9" t="str">
        <f t="shared" si="12"/>
        <v/>
      </c>
      <c r="AC42" s="10" t="str">
        <f t="shared" si="13"/>
        <v/>
      </c>
    </row>
    <row r="43" spans="1:29" ht="18" customHeight="1">
      <c r="A43" s="6">
        <v>39</v>
      </c>
      <c r="B43" s="6"/>
      <c r="C43" s="6" t="str">
        <f t="shared" si="7"/>
        <v/>
      </c>
      <c r="D43" s="7" t="str">
        <f>IF(C43="","",SUM($C$5:C43))</f>
        <v/>
      </c>
      <c r="E43" s="7" t="str">
        <f t="shared" si="8"/>
        <v/>
      </c>
      <c r="F43" s="7" t="str">
        <f>IF(C43="","",SUM($E$5:E43))</f>
        <v/>
      </c>
      <c r="G43" s="8" t="str">
        <f>IF(C43="","",IF('Rules &amp; Notes'!$B$4-D43&gt;0,F43/(('Rules &amp; Notes'!$B$4-D43)/'Rules &amp; Notes'!$B$3),""))</f>
        <v/>
      </c>
      <c r="H43" s="43" t="str">
        <f t="shared" si="9"/>
        <v/>
      </c>
      <c r="I43" s="50"/>
      <c r="J43" s="52" t="str">
        <f t="shared" si="10"/>
        <v/>
      </c>
      <c r="K43" s="5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6" t="str">
        <f>IF(C43="","",IF(D43&gt;'Rules &amp; Notes'!$B$4,"TOTAL &gt; 416",IF(OR(SUM($K$5:K43)&gt;32,SUM($L$5:L43)&gt;32,SUM($M$5:M43)&gt;32,SUM($N$5:N43)&gt;32,SUM($O$5:O43)&gt;32,SUM($P$5:P43)&gt;32,SUM($Q$5:Q43)&gt;32,SUM($R$5:R43)&gt;32,SUM($S$5:S43)&gt;32,SUM($T$5:T43)&gt;32,SUM($U$5:U43)&gt;32,SUM($V$5:V43)&gt;32,SUM($W$5:W43)&gt;32),"RANK &gt; 32",IF(C43&gt;6,"HAND &gt; 6","OK"))))</f>
        <v/>
      </c>
      <c r="Y43" s="7" t="str">
        <f t="shared" si="11"/>
        <v/>
      </c>
      <c r="Z43" s="7" t="str">
        <f>IF(C43="","",SUM($Y$5:Y43))</f>
        <v/>
      </c>
      <c r="AA43" s="9" t="str">
        <f>IF(C43="","",MAX(0,('Rules &amp; Notes'!$B$4-D43)/'Rules &amp; Notes'!$B$3))</f>
        <v/>
      </c>
      <c r="AB43" s="9" t="str">
        <f t="shared" si="12"/>
        <v/>
      </c>
      <c r="AC43" s="10" t="str">
        <f t="shared" si="13"/>
        <v/>
      </c>
    </row>
    <row r="44" spans="1:29" ht="18" customHeight="1">
      <c r="A44" s="6">
        <v>40</v>
      </c>
      <c r="B44" s="6"/>
      <c r="C44" s="6" t="str">
        <f t="shared" si="7"/>
        <v/>
      </c>
      <c r="D44" s="7" t="str">
        <f>IF(C44="","",SUM($C$5:C44))</f>
        <v/>
      </c>
      <c r="E44" s="7" t="str">
        <f t="shared" si="8"/>
        <v/>
      </c>
      <c r="F44" s="7" t="str">
        <f>IF(C44="","",SUM($E$5:E44))</f>
        <v/>
      </c>
      <c r="G44" s="8" t="str">
        <f>IF(C44="","",IF('Rules &amp; Notes'!$B$4-D44&gt;0,F44/(('Rules &amp; Notes'!$B$4-D44)/'Rules &amp; Notes'!$B$3),""))</f>
        <v/>
      </c>
      <c r="H44" s="43" t="str">
        <f t="shared" si="9"/>
        <v/>
      </c>
      <c r="I44" s="50"/>
      <c r="J44" s="52" t="str">
        <f t="shared" si="10"/>
        <v/>
      </c>
      <c r="K44" s="5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6" t="str">
        <f>IF(C44="","",IF(D44&gt;'Rules &amp; Notes'!$B$4,"TOTAL &gt; 416",IF(OR(SUM($K$5:K44)&gt;32,SUM($L$5:L44)&gt;32,SUM($M$5:M44)&gt;32,SUM($N$5:N44)&gt;32,SUM($O$5:O44)&gt;32,SUM($P$5:P44)&gt;32,SUM($Q$5:Q44)&gt;32,SUM($R$5:R44)&gt;32,SUM($S$5:S44)&gt;32,SUM($T$5:T44)&gt;32,SUM($U$5:U44)&gt;32,SUM($V$5:V44)&gt;32,SUM($W$5:W44)&gt;32),"RANK &gt; 32",IF(C44&gt;6,"HAND &gt; 6","OK"))))</f>
        <v/>
      </c>
      <c r="Y44" s="7" t="str">
        <f t="shared" si="11"/>
        <v/>
      </c>
      <c r="Z44" s="7" t="str">
        <f>IF(C44="","",SUM($Y$5:Y44))</f>
        <v/>
      </c>
      <c r="AA44" s="9" t="str">
        <f>IF(C44="","",MAX(0,('Rules &amp; Notes'!$B$4-D44)/'Rules &amp; Notes'!$B$3))</f>
        <v/>
      </c>
      <c r="AB44" s="9" t="str">
        <f t="shared" si="12"/>
        <v/>
      </c>
      <c r="AC44" s="10" t="str">
        <f t="shared" si="13"/>
        <v/>
      </c>
    </row>
    <row r="45" spans="1:29" ht="18" customHeight="1">
      <c r="A45" s="6">
        <v>41</v>
      </c>
      <c r="B45" s="6"/>
      <c r="C45" s="6" t="str">
        <f t="shared" si="7"/>
        <v/>
      </c>
      <c r="D45" s="7" t="str">
        <f>IF(C45="","",SUM($C$5:C45))</f>
        <v/>
      </c>
      <c r="E45" s="7" t="str">
        <f t="shared" si="8"/>
        <v/>
      </c>
      <c r="F45" s="7" t="str">
        <f>IF(C45="","",SUM($E$5:E45))</f>
        <v/>
      </c>
      <c r="G45" s="8" t="str">
        <f>IF(C45="","",IF('Rules &amp; Notes'!$B$4-D45&gt;0,F45/(('Rules &amp; Notes'!$B$4-D45)/'Rules &amp; Notes'!$B$3),""))</f>
        <v/>
      </c>
      <c r="H45" s="43" t="str">
        <f t="shared" si="9"/>
        <v/>
      </c>
      <c r="I45" s="50"/>
      <c r="J45" s="52" t="str">
        <f t="shared" si="10"/>
        <v/>
      </c>
      <c r="K45" s="5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6" t="str">
        <f>IF(C45="","",IF(D45&gt;'Rules &amp; Notes'!$B$4,"TOTAL &gt; 416",IF(OR(SUM($K$5:K45)&gt;32,SUM($L$5:L45)&gt;32,SUM($M$5:M45)&gt;32,SUM($N$5:N45)&gt;32,SUM($O$5:O45)&gt;32,SUM($P$5:P45)&gt;32,SUM($Q$5:Q45)&gt;32,SUM($R$5:R45)&gt;32,SUM($S$5:S45)&gt;32,SUM($T$5:T45)&gt;32,SUM($U$5:U45)&gt;32,SUM($V$5:V45)&gt;32,SUM($W$5:W45)&gt;32),"RANK &gt; 32",IF(C45&gt;6,"HAND &gt; 6","OK"))))</f>
        <v/>
      </c>
      <c r="Y45" s="7" t="str">
        <f t="shared" si="11"/>
        <v/>
      </c>
      <c r="Z45" s="7" t="str">
        <f>IF(C45="","",SUM($Y$5:Y45))</f>
        <v/>
      </c>
      <c r="AA45" s="9" t="str">
        <f>IF(C45="","",MAX(0,('Rules &amp; Notes'!$B$4-D45)/'Rules &amp; Notes'!$B$3))</f>
        <v/>
      </c>
      <c r="AB45" s="9" t="str">
        <f t="shared" si="12"/>
        <v/>
      </c>
      <c r="AC45" s="10" t="str">
        <f t="shared" si="13"/>
        <v/>
      </c>
    </row>
    <row r="46" spans="1:29" ht="18" customHeight="1">
      <c r="A46" s="6">
        <v>42</v>
      </c>
      <c r="B46" s="6"/>
      <c r="C46" s="6" t="str">
        <f t="shared" si="7"/>
        <v/>
      </c>
      <c r="D46" s="7" t="str">
        <f>IF(C46="","",SUM($C$5:C46))</f>
        <v/>
      </c>
      <c r="E46" s="7" t="str">
        <f t="shared" si="8"/>
        <v/>
      </c>
      <c r="F46" s="7" t="str">
        <f>IF(C46="","",SUM($E$5:E46))</f>
        <v/>
      </c>
      <c r="G46" s="8" t="str">
        <f>IF(C46="","",IF('Rules &amp; Notes'!$B$4-D46&gt;0,F46/(('Rules &amp; Notes'!$B$4-D46)/'Rules &amp; Notes'!$B$3),""))</f>
        <v/>
      </c>
      <c r="H46" s="43" t="str">
        <f t="shared" si="9"/>
        <v/>
      </c>
      <c r="I46" s="50"/>
      <c r="J46" s="52" t="str">
        <f t="shared" si="10"/>
        <v/>
      </c>
      <c r="K46" s="5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6" t="str">
        <f>IF(C46="","",IF(D46&gt;'Rules &amp; Notes'!$B$4,"TOTAL &gt; 416",IF(OR(SUM($K$5:K46)&gt;32,SUM($L$5:L46)&gt;32,SUM($M$5:M46)&gt;32,SUM($N$5:N46)&gt;32,SUM($O$5:O46)&gt;32,SUM($P$5:P46)&gt;32,SUM($Q$5:Q46)&gt;32,SUM($R$5:R46)&gt;32,SUM($S$5:S46)&gt;32,SUM($T$5:T46)&gt;32,SUM($U$5:U46)&gt;32,SUM($V$5:V46)&gt;32,SUM($W$5:W46)&gt;32),"RANK &gt; 32",IF(C46&gt;6,"HAND &gt; 6","OK"))))</f>
        <v/>
      </c>
      <c r="Y46" s="7" t="str">
        <f t="shared" si="11"/>
        <v/>
      </c>
      <c r="Z46" s="7" t="str">
        <f>IF(C46="","",SUM($Y$5:Y46))</f>
        <v/>
      </c>
      <c r="AA46" s="9" t="str">
        <f>IF(C46="","",MAX(0,('Rules &amp; Notes'!$B$4-D46)/'Rules &amp; Notes'!$B$3))</f>
        <v/>
      </c>
      <c r="AB46" s="9" t="str">
        <f t="shared" si="12"/>
        <v/>
      </c>
      <c r="AC46" s="10" t="str">
        <f t="shared" si="13"/>
        <v/>
      </c>
    </row>
    <row r="47" spans="1:29" ht="18" customHeight="1">
      <c r="A47" s="6">
        <v>43</v>
      </c>
      <c r="B47" s="6"/>
      <c r="C47" s="6" t="str">
        <f t="shared" si="7"/>
        <v/>
      </c>
      <c r="D47" s="7" t="str">
        <f>IF(C47="","",SUM($C$5:C47))</f>
        <v/>
      </c>
      <c r="E47" s="7" t="str">
        <f t="shared" si="8"/>
        <v/>
      </c>
      <c r="F47" s="7" t="str">
        <f>IF(C47="","",SUM($E$5:E47))</f>
        <v/>
      </c>
      <c r="G47" s="8" t="str">
        <f>IF(C47="","",IF('Rules &amp; Notes'!$B$4-D47&gt;0,F47/(('Rules &amp; Notes'!$B$4-D47)/'Rules &amp; Notes'!$B$3),""))</f>
        <v/>
      </c>
      <c r="H47" s="43" t="str">
        <f t="shared" si="9"/>
        <v/>
      </c>
      <c r="I47" s="50"/>
      <c r="J47" s="52" t="str">
        <f t="shared" si="10"/>
        <v/>
      </c>
      <c r="K47" s="5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6" t="str">
        <f>IF(C47="","",IF(D47&gt;'Rules &amp; Notes'!$B$4,"TOTAL &gt; 416",IF(OR(SUM($K$5:K47)&gt;32,SUM($L$5:L47)&gt;32,SUM($M$5:M47)&gt;32,SUM($N$5:N47)&gt;32,SUM($O$5:O47)&gt;32,SUM($P$5:P47)&gt;32,SUM($Q$5:Q47)&gt;32,SUM($R$5:R47)&gt;32,SUM($S$5:S47)&gt;32,SUM($T$5:T47)&gt;32,SUM($U$5:U47)&gt;32,SUM($V$5:V47)&gt;32,SUM($W$5:W47)&gt;32),"RANK &gt; 32",IF(C47&gt;6,"HAND &gt; 6","OK"))))</f>
        <v/>
      </c>
      <c r="Y47" s="7" t="str">
        <f t="shared" si="11"/>
        <v/>
      </c>
      <c r="Z47" s="7" t="str">
        <f>IF(C47="","",SUM($Y$5:Y47))</f>
        <v/>
      </c>
      <c r="AA47" s="9" t="str">
        <f>IF(C47="","",MAX(0,('Rules &amp; Notes'!$B$4-D47)/'Rules &amp; Notes'!$B$3))</f>
        <v/>
      </c>
      <c r="AB47" s="9" t="str">
        <f t="shared" si="12"/>
        <v/>
      </c>
      <c r="AC47" s="10" t="str">
        <f t="shared" si="13"/>
        <v/>
      </c>
    </row>
    <row r="48" spans="1:29" ht="18" customHeight="1">
      <c r="A48" s="6">
        <v>44</v>
      </c>
      <c r="B48" s="6"/>
      <c r="C48" s="6" t="str">
        <f t="shared" si="7"/>
        <v/>
      </c>
      <c r="D48" s="7" t="str">
        <f>IF(C48="","",SUM($C$5:C48))</f>
        <v/>
      </c>
      <c r="E48" s="7" t="str">
        <f t="shared" si="8"/>
        <v/>
      </c>
      <c r="F48" s="7" t="str">
        <f>IF(C48="","",SUM($E$5:E48))</f>
        <v/>
      </c>
      <c r="G48" s="8" t="str">
        <f>IF(C48="","",IF('Rules &amp; Notes'!$B$4-D48&gt;0,F48/(('Rules &amp; Notes'!$B$4-D48)/'Rules &amp; Notes'!$B$3),""))</f>
        <v/>
      </c>
      <c r="H48" s="43" t="str">
        <f t="shared" si="9"/>
        <v/>
      </c>
      <c r="I48" s="50"/>
      <c r="J48" s="52" t="str">
        <f t="shared" si="10"/>
        <v/>
      </c>
      <c r="K48" s="5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6" t="str">
        <f>IF(C48="","",IF(D48&gt;'Rules &amp; Notes'!$B$4,"TOTAL &gt; 416",IF(OR(SUM($K$5:K48)&gt;32,SUM($L$5:L48)&gt;32,SUM($M$5:M48)&gt;32,SUM($N$5:N48)&gt;32,SUM($O$5:O48)&gt;32,SUM($P$5:P48)&gt;32,SUM($Q$5:Q48)&gt;32,SUM($R$5:R48)&gt;32,SUM($S$5:S48)&gt;32,SUM($T$5:T48)&gt;32,SUM($U$5:U48)&gt;32,SUM($V$5:V48)&gt;32,SUM($W$5:W48)&gt;32),"RANK &gt; 32",IF(C48&gt;6,"HAND &gt; 6","OK"))))</f>
        <v/>
      </c>
      <c r="Y48" s="7" t="str">
        <f t="shared" si="11"/>
        <v/>
      </c>
      <c r="Z48" s="7" t="str">
        <f>IF(C48="","",SUM($Y$5:Y48))</f>
        <v/>
      </c>
      <c r="AA48" s="9" t="str">
        <f>IF(C48="","",MAX(0,('Rules &amp; Notes'!$B$4-D48)/'Rules &amp; Notes'!$B$3))</f>
        <v/>
      </c>
      <c r="AB48" s="9" t="str">
        <f t="shared" si="12"/>
        <v/>
      </c>
      <c r="AC48" s="10" t="str">
        <f t="shared" si="13"/>
        <v/>
      </c>
    </row>
    <row r="49" spans="1:29" ht="18" customHeight="1">
      <c r="A49" s="6">
        <v>45</v>
      </c>
      <c r="B49" s="6"/>
      <c r="C49" s="6" t="str">
        <f t="shared" si="7"/>
        <v/>
      </c>
      <c r="D49" s="7" t="str">
        <f>IF(C49="","",SUM($C$5:C49))</f>
        <v/>
      </c>
      <c r="E49" s="7" t="str">
        <f t="shared" si="8"/>
        <v/>
      </c>
      <c r="F49" s="7" t="str">
        <f>IF(C49="","",SUM($E$5:E49))</f>
        <v/>
      </c>
      <c r="G49" s="8" t="str">
        <f>IF(C49="","",IF('Rules &amp; Notes'!$B$4-D49&gt;0,F49/(('Rules &amp; Notes'!$B$4-D49)/'Rules &amp; Notes'!$B$3),""))</f>
        <v/>
      </c>
      <c r="H49" s="43" t="str">
        <f t="shared" si="9"/>
        <v/>
      </c>
      <c r="I49" s="50"/>
      <c r="J49" s="52" t="str">
        <f t="shared" si="10"/>
        <v/>
      </c>
      <c r="K49" s="5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6" t="str">
        <f>IF(C49="","",IF(D49&gt;'Rules &amp; Notes'!$B$4,"TOTAL &gt; 416",IF(OR(SUM($K$5:K49)&gt;32,SUM($L$5:L49)&gt;32,SUM($M$5:M49)&gt;32,SUM($N$5:N49)&gt;32,SUM($O$5:O49)&gt;32,SUM($P$5:P49)&gt;32,SUM($Q$5:Q49)&gt;32,SUM($R$5:R49)&gt;32,SUM($S$5:S49)&gt;32,SUM($T$5:T49)&gt;32,SUM($U$5:U49)&gt;32,SUM($V$5:V49)&gt;32,SUM($W$5:W49)&gt;32),"RANK &gt; 32",IF(C49&gt;6,"HAND &gt; 6","OK"))))</f>
        <v/>
      </c>
      <c r="Y49" s="7" t="str">
        <f t="shared" si="11"/>
        <v/>
      </c>
      <c r="Z49" s="7" t="str">
        <f>IF(C49="","",SUM($Y$5:Y49))</f>
        <v/>
      </c>
      <c r="AA49" s="9" t="str">
        <f>IF(C49="","",MAX(0,('Rules &amp; Notes'!$B$4-D49)/'Rules &amp; Notes'!$B$3))</f>
        <v/>
      </c>
      <c r="AB49" s="9" t="str">
        <f t="shared" si="12"/>
        <v/>
      </c>
      <c r="AC49" s="10" t="str">
        <f t="shared" si="13"/>
        <v/>
      </c>
    </row>
    <row r="50" spans="1:29" ht="18" customHeight="1">
      <c r="A50" s="6">
        <v>46</v>
      </c>
      <c r="B50" s="6"/>
      <c r="C50" s="6" t="str">
        <f t="shared" si="7"/>
        <v/>
      </c>
      <c r="D50" s="7" t="str">
        <f>IF(C50="","",SUM($C$5:C50))</f>
        <v/>
      </c>
      <c r="E50" s="7" t="str">
        <f t="shared" si="8"/>
        <v/>
      </c>
      <c r="F50" s="7" t="str">
        <f>IF(C50="","",SUM($E$5:E50))</f>
        <v/>
      </c>
      <c r="G50" s="8" t="str">
        <f>IF(C50="","",IF('Rules &amp; Notes'!$B$4-D50&gt;0,F50/(('Rules &amp; Notes'!$B$4-D50)/'Rules &amp; Notes'!$B$3),""))</f>
        <v/>
      </c>
      <c r="H50" s="43" t="str">
        <f t="shared" si="9"/>
        <v/>
      </c>
      <c r="I50" s="50"/>
      <c r="J50" s="52" t="str">
        <f t="shared" si="10"/>
        <v/>
      </c>
      <c r="K50" s="5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6" t="str">
        <f>IF(C50="","",IF(D50&gt;'Rules &amp; Notes'!$B$4,"TOTAL &gt; 416",IF(OR(SUM($K$5:K50)&gt;32,SUM($L$5:L50)&gt;32,SUM($M$5:M50)&gt;32,SUM($N$5:N50)&gt;32,SUM($O$5:O50)&gt;32,SUM($P$5:P50)&gt;32,SUM($Q$5:Q50)&gt;32,SUM($R$5:R50)&gt;32,SUM($S$5:S50)&gt;32,SUM($T$5:T50)&gt;32,SUM($U$5:U50)&gt;32,SUM($V$5:V50)&gt;32,SUM($W$5:W50)&gt;32),"RANK &gt; 32",IF(C50&gt;6,"HAND &gt; 6","OK"))))</f>
        <v/>
      </c>
      <c r="Y50" s="7" t="str">
        <f t="shared" si="11"/>
        <v/>
      </c>
      <c r="Z50" s="7" t="str">
        <f>IF(C50="","",SUM($Y$5:Y50))</f>
        <v/>
      </c>
      <c r="AA50" s="9" t="str">
        <f>IF(C50="","",MAX(0,('Rules &amp; Notes'!$B$4-D50)/'Rules &amp; Notes'!$B$3))</f>
        <v/>
      </c>
      <c r="AB50" s="9" t="str">
        <f t="shared" si="12"/>
        <v/>
      </c>
      <c r="AC50" s="10" t="str">
        <f t="shared" si="13"/>
        <v/>
      </c>
    </row>
    <row r="51" spans="1:29" ht="18" customHeight="1">
      <c r="A51" s="6">
        <v>47</v>
      </c>
      <c r="B51" s="6"/>
      <c r="C51" s="6" t="str">
        <f t="shared" si="7"/>
        <v/>
      </c>
      <c r="D51" s="7" t="str">
        <f>IF(C51="","",SUM($C$5:C51))</f>
        <v/>
      </c>
      <c r="E51" s="7" t="str">
        <f t="shared" si="8"/>
        <v/>
      </c>
      <c r="F51" s="7" t="str">
        <f>IF(C51="","",SUM($E$5:E51))</f>
        <v/>
      </c>
      <c r="G51" s="8" t="str">
        <f>IF(C51="","",IF('Rules &amp; Notes'!$B$4-D51&gt;0,F51/(('Rules &amp; Notes'!$B$4-D51)/'Rules &amp; Notes'!$B$3),""))</f>
        <v/>
      </c>
      <c r="H51" s="43" t="str">
        <f t="shared" si="9"/>
        <v/>
      </c>
      <c r="I51" s="50"/>
      <c r="J51" s="52" t="str">
        <f t="shared" si="10"/>
        <v/>
      </c>
      <c r="K51" s="5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6" t="str">
        <f>IF(C51="","",IF(D51&gt;'Rules &amp; Notes'!$B$4,"TOTAL &gt; 416",IF(OR(SUM($K$5:K51)&gt;32,SUM($L$5:L51)&gt;32,SUM($M$5:M51)&gt;32,SUM($N$5:N51)&gt;32,SUM($O$5:O51)&gt;32,SUM($P$5:P51)&gt;32,SUM($Q$5:Q51)&gt;32,SUM($R$5:R51)&gt;32,SUM($S$5:S51)&gt;32,SUM($T$5:T51)&gt;32,SUM($U$5:U51)&gt;32,SUM($V$5:V51)&gt;32,SUM($W$5:W51)&gt;32),"RANK &gt; 32",IF(C51&gt;6,"HAND &gt; 6","OK"))))</f>
        <v/>
      </c>
      <c r="Y51" s="7" t="str">
        <f t="shared" si="11"/>
        <v/>
      </c>
      <c r="Z51" s="7" t="str">
        <f>IF(C51="","",SUM($Y$5:Y51))</f>
        <v/>
      </c>
      <c r="AA51" s="9" t="str">
        <f>IF(C51="","",MAX(0,('Rules &amp; Notes'!$B$4-D51)/'Rules &amp; Notes'!$B$3))</f>
        <v/>
      </c>
      <c r="AB51" s="9" t="str">
        <f t="shared" si="12"/>
        <v/>
      </c>
      <c r="AC51" s="10" t="str">
        <f t="shared" si="13"/>
        <v/>
      </c>
    </row>
    <row r="52" spans="1:29" ht="18" customHeight="1">
      <c r="A52" s="6">
        <v>48</v>
      </c>
      <c r="B52" s="6"/>
      <c r="C52" s="6" t="str">
        <f t="shared" si="7"/>
        <v/>
      </c>
      <c r="D52" s="7" t="str">
        <f>IF(C52="","",SUM($C$5:C52))</f>
        <v/>
      </c>
      <c r="E52" s="7" t="str">
        <f t="shared" si="8"/>
        <v/>
      </c>
      <c r="F52" s="7" t="str">
        <f>IF(C52="","",SUM($E$5:E52))</f>
        <v/>
      </c>
      <c r="G52" s="8" t="str">
        <f>IF(C52="","",IF('Rules &amp; Notes'!$B$4-D52&gt;0,F52/(('Rules &amp; Notes'!$B$4-D52)/'Rules &amp; Notes'!$B$3),""))</f>
        <v/>
      </c>
      <c r="H52" s="43" t="str">
        <f t="shared" si="9"/>
        <v/>
      </c>
      <c r="I52" s="50"/>
      <c r="J52" s="52" t="str">
        <f t="shared" si="10"/>
        <v/>
      </c>
      <c r="K52" s="5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6" t="str">
        <f>IF(C52="","",IF(D52&gt;'Rules &amp; Notes'!$B$4,"TOTAL &gt; 416",IF(OR(SUM($K$5:K52)&gt;32,SUM($L$5:L52)&gt;32,SUM($M$5:M52)&gt;32,SUM($N$5:N52)&gt;32,SUM($O$5:O52)&gt;32,SUM($P$5:P52)&gt;32,SUM($Q$5:Q52)&gt;32,SUM($R$5:R52)&gt;32,SUM($S$5:S52)&gt;32,SUM($T$5:T52)&gt;32,SUM($U$5:U52)&gt;32,SUM($V$5:V52)&gt;32,SUM($W$5:W52)&gt;32),"RANK &gt; 32",IF(C52&gt;6,"HAND &gt; 6","OK"))))</f>
        <v/>
      </c>
      <c r="Y52" s="7" t="str">
        <f t="shared" si="11"/>
        <v/>
      </c>
      <c r="Z52" s="7" t="str">
        <f>IF(C52="","",SUM($Y$5:Y52))</f>
        <v/>
      </c>
      <c r="AA52" s="9" t="str">
        <f>IF(C52="","",MAX(0,('Rules &amp; Notes'!$B$4-D52)/'Rules &amp; Notes'!$B$3))</f>
        <v/>
      </c>
      <c r="AB52" s="9" t="str">
        <f t="shared" si="12"/>
        <v/>
      </c>
      <c r="AC52" s="10" t="str">
        <f t="shared" si="13"/>
        <v/>
      </c>
    </row>
    <row r="53" spans="1:29" ht="18" customHeight="1">
      <c r="A53" s="6">
        <v>49</v>
      </c>
      <c r="B53" s="6"/>
      <c r="C53" s="6" t="str">
        <f t="shared" si="7"/>
        <v/>
      </c>
      <c r="D53" s="7" t="str">
        <f>IF(C53="","",SUM($C$5:C53))</f>
        <v/>
      </c>
      <c r="E53" s="7" t="str">
        <f t="shared" si="8"/>
        <v/>
      </c>
      <c r="F53" s="7" t="str">
        <f>IF(C53="","",SUM($E$5:E53))</f>
        <v/>
      </c>
      <c r="G53" s="8" t="str">
        <f>IF(C53="","",IF('Rules &amp; Notes'!$B$4-D53&gt;0,F53/(('Rules &amp; Notes'!$B$4-D53)/'Rules &amp; Notes'!$B$3),""))</f>
        <v/>
      </c>
      <c r="H53" s="43" t="str">
        <f t="shared" si="9"/>
        <v/>
      </c>
      <c r="I53" s="50"/>
      <c r="J53" s="52" t="str">
        <f t="shared" si="10"/>
        <v/>
      </c>
      <c r="K53" s="5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6" t="str">
        <f>IF(C53="","",IF(D53&gt;'Rules &amp; Notes'!$B$4,"TOTAL &gt; 416",IF(OR(SUM($K$5:K53)&gt;32,SUM($L$5:L53)&gt;32,SUM($M$5:M53)&gt;32,SUM($N$5:N53)&gt;32,SUM($O$5:O53)&gt;32,SUM($P$5:P53)&gt;32,SUM($Q$5:Q53)&gt;32,SUM($R$5:R53)&gt;32,SUM($S$5:S53)&gt;32,SUM($T$5:T53)&gt;32,SUM($U$5:U53)&gt;32,SUM($V$5:V53)&gt;32,SUM($W$5:W53)&gt;32),"RANK &gt; 32",IF(C53&gt;6,"HAND &gt; 6","OK"))))</f>
        <v/>
      </c>
      <c r="Y53" s="7" t="str">
        <f t="shared" si="11"/>
        <v/>
      </c>
      <c r="Z53" s="7" t="str">
        <f>IF(C53="","",SUM($Y$5:Y53))</f>
        <v/>
      </c>
      <c r="AA53" s="9" t="str">
        <f>IF(C53="","",MAX(0,('Rules &amp; Notes'!$B$4-D53)/'Rules &amp; Notes'!$B$3))</f>
        <v/>
      </c>
      <c r="AB53" s="9" t="str">
        <f t="shared" si="12"/>
        <v/>
      </c>
      <c r="AC53" s="10" t="str">
        <f t="shared" si="13"/>
        <v/>
      </c>
    </row>
    <row r="54" spans="1:29" ht="18" customHeight="1">
      <c r="A54" s="6">
        <v>50</v>
      </c>
      <c r="B54" s="6"/>
      <c r="C54" s="6" t="str">
        <f t="shared" si="7"/>
        <v/>
      </c>
      <c r="D54" s="7" t="str">
        <f>IF(C54="","",SUM($C$5:C54))</f>
        <v/>
      </c>
      <c r="E54" s="7" t="str">
        <f t="shared" si="8"/>
        <v/>
      </c>
      <c r="F54" s="7" t="str">
        <f>IF(C54="","",SUM($E$5:E54))</f>
        <v/>
      </c>
      <c r="G54" s="8" t="str">
        <f>IF(C54="","",IF('Rules &amp; Notes'!$B$4-D54&gt;0,F54/(('Rules &amp; Notes'!$B$4-D54)/'Rules &amp; Notes'!$B$3),""))</f>
        <v/>
      </c>
      <c r="H54" s="43" t="str">
        <f t="shared" si="9"/>
        <v/>
      </c>
      <c r="I54" s="50"/>
      <c r="J54" s="52" t="str">
        <f t="shared" si="10"/>
        <v/>
      </c>
      <c r="K54" s="5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6" t="str">
        <f>IF(C54="","",IF(D54&gt;'Rules &amp; Notes'!$B$4,"TOTAL &gt; 416",IF(OR(SUM($K$5:K54)&gt;32,SUM($L$5:L54)&gt;32,SUM($M$5:M54)&gt;32,SUM($N$5:N54)&gt;32,SUM($O$5:O54)&gt;32,SUM($P$5:P54)&gt;32,SUM($Q$5:Q54)&gt;32,SUM($R$5:R54)&gt;32,SUM($S$5:S54)&gt;32,SUM($T$5:T54)&gt;32,SUM($U$5:U54)&gt;32,SUM($V$5:V54)&gt;32,SUM($W$5:W54)&gt;32),"RANK &gt; 32",IF(C54&gt;6,"HAND &gt; 6","OK"))))</f>
        <v/>
      </c>
      <c r="Y54" s="7" t="str">
        <f t="shared" si="11"/>
        <v/>
      </c>
      <c r="Z54" s="7" t="str">
        <f>IF(C54="","",SUM($Y$5:Y54))</f>
        <v/>
      </c>
      <c r="AA54" s="9" t="str">
        <f>IF(C54="","",MAX(0,('Rules &amp; Notes'!$B$4-D54)/'Rules &amp; Notes'!$B$3))</f>
        <v/>
      </c>
      <c r="AB54" s="9" t="str">
        <f t="shared" si="12"/>
        <v/>
      </c>
      <c r="AC54" s="10" t="str">
        <f t="shared" si="13"/>
        <v/>
      </c>
    </row>
  </sheetData>
  <mergeCells count="5">
    <mergeCell ref="K1:W1"/>
    <mergeCell ref="K2:W2"/>
    <mergeCell ref="Y1:AC1"/>
    <mergeCell ref="Y2:AC2"/>
    <mergeCell ref="C3:H3"/>
  </mergeCells>
  <conditionalFormatting sqref="AC5:AC54">
    <cfRule type="expression" dxfId="2" priority="1">
      <formula>AC5="AT/ABOVE +4 TRIGGER"</formula>
    </cfRule>
    <cfRule type="expression" dxfId="1" priority="2">
      <formula>AC5="CHECK INPUT"</formula>
    </cfRule>
  </conditionalFormatting>
  <dataValidations count="1">
    <dataValidation type="whole" sqref="K5:W54" xr:uid="{00000000-0002-0000-0000-000000000000}">
      <formula1>0</formula1>
      <formula2>6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workbookViewId="0">
      <pane ySplit="4" topLeftCell="A14" activePane="bottomLeft" state="frozen"/>
      <selection pane="bottomLeft" activeCell="B33" sqref="B33"/>
    </sheetView>
  </sheetViews>
  <sheetFormatPr defaultRowHeight="14.25"/>
  <cols>
    <col min="1" max="1" width="30" customWidth="1"/>
    <col min="2" max="2" width="48" customWidth="1"/>
    <col min="3" max="3" width="68" customWidth="1"/>
  </cols>
  <sheetData>
    <row r="1" spans="1:3" ht="18">
      <c r="A1" s="12" t="s">
        <v>31</v>
      </c>
      <c r="B1" s="12"/>
      <c r="C1" s="12"/>
    </row>
    <row r="2" spans="1:3" ht="38.25">
      <c r="A2" s="13" t="s">
        <v>32</v>
      </c>
      <c r="B2" s="13"/>
      <c r="C2" s="13"/>
    </row>
    <row r="3" spans="1:3">
      <c r="A3" s="2"/>
      <c r="B3" s="2"/>
      <c r="C3" s="2"/>
    </row>
    <row r="4" spans="1:3">
      <c r="A4" s="14" t="s">
        <v>33</v>
      </c>
      <c r="B4" s="14" t="s">
        <v>34</v>
      </c>
      <c r="C4" s="14" t="s">
        <v>11</v>
      </c>
    </row>
    <row r="5" spans="1:3">
      <c r="A5" s="15" t="s">
        <v>35</v>
      </c>
      <c r="B5" s="15">
        <f>'Rules &amp; Notes'!$B$4</f>
        <v>416</v>
      </c>
      <c r="C5" s="15" t="s">
        <v>36</v>
      </c>
    </row>
    <row r="6" spans="1:3">
      <c r="A6" s="15" t="s">
        <v>37</v>
      </c>
      <c r="B6" s="15">
        <f>SUM('Hand Log'!C5:C54)</f>
        <v>0</v>
      </c>
      <c r="C6" s="15" t="s">
        <v>38</v>
      </c>
    </row>
    <row r="7" spans="1:3">
      <c r="A7" s="15" t="s">
        <v>39</v>
      </c>
      <c r="B7" s="15">
        <f>MAX(0,B5-B6)</f>
        <v>416</v>
      </c>
      <c r="C7" s="15" t="s">
        <v>40</v>
      </c>
    </row>
    <row r="8" spans="1:3">
      <c r="A8" s="15" t="s">
        <v>41</v>
      </c>
      <c r="B8" s="16">
        <f>IFERROR(B7/'Rules &amp; Notes'!$B$3,0)</f>
        <v>8</v>
      </c>
      <c r="C8" s="15" t="s">
        <v>42</v>
      </c>
    </row>
    <row r="9" spans="1:3">
      <c r="A9" s="15" t="s">
        <v>43</v>
      </c>
      <c r="B9" s="16">
        <f>SUM('Hand Log'!E5:E54)</f>
        <v>0</v>
      </c>
      <c r="C9" s="15" t="s">
        <v>44</v>
      </c>
    </row>
    <row r="10" spans="1:3">
      <c r="A10" s="15" t="s">
        <v>45</v>
      </c>
      <c r="B10" s="16">
        <f>IFERROR(B9/B8,0)</f>
        <v>0</v>
      </c>
      <c r="C10" s="15" t="s">
        <v>46</v>
      </c>
    </row>
    <row r="11" spans="1:3">
      <c r="A11" s="15" t="s">
        <v>47</v>
      </c>
      <c r="B11" s="15">
        <f>'Remaining Cards'!D11</f>
        <v>0</v>
      </c>
      <c r="C11" s="15" t="s">
        <v>48</v>
      </c>
    </row>
    <row r="12" spans="1:3">
      <c r="A12" s="15" t="s">
        <v>49</v>
      </c>
      <c r="B12" s="15">
        <f>'Remaining Cards'!E11</f>
        <v>32</v>
      </c>
      <c r="C12" s="15" t="s">
        <v>50</v>
      </c>
    </row>
    <row r="13" spans="1:3">
      <c r="A13" s="15" t="s">
        <v>51</v>
      </c>
      <c r="B13" s="15" t="s">
        <v>52</v>
      </c>
      <c r="C13" s="15" t="s">
        <v>53</v>
      </c>
    </row>
    <row r="14" spans="1:3">
      <c r="A14" s="15" t="s">
        <v>54</v>
      </c>
      <c r="B14" s="15" t="s">
        <v>52</v>
      </c>
      <c r="C14" s="15" t="s">
        <v>55</v>
      </c>
    </row>
    <row r="15" spans="1:3">
      <c r="A15" s="15" t="s">
        <v>56</v>
      </c>
      <c r="B15" s="15" t="s">
        <v>52</v>
      </c>
      <c r="C15" s="15" t="s">
        <v>55</v>
      </c>
    </row>
    <row r="16" spans="1:3">
      <c r="A16" s="17"/>
      <c r="B16" s="17"/>
      <c r="C16" s="17"/>
    </row>
    <row r="17" spans="1:3">
      <c r="A17" s="18" t="s">
        <v>57</v>
      </c>
      <c r="B17" s="18"/>
      <c r="C17" s="18"/>
    </row>
    <row r="18" spans="1:3" ht="25.5">
      <c r="A18" s="15" t="s">
        <v>58</v>
      </c>
      <c r="B18" s="19">
        <f>'Blazing 7 Odds'!B13</f>
        <v>1.1282578853111659E-2</v>
      </c>
      <c r="C18" s="15" t="s">
        <v>59</v>
      </c>
    </row>
    <row r="19" spans="1:3">
      <c r="A19" s="15" t="s">
        <v>60</v>
      </c>
      <c r="B19" s="15" t="s">
        <v>61</v>
      </c>
      <c r="C19" s="15" t="s">
        <v>62</v>
      </c>
    </row>
    <row r="20" spans="1:3">
      <c r="A20" s="15" t="s">
        <v>63</v>
      </c>
      <c r="B20" s="15" t="s">
        <v>64</v>
      </c>
      <c r="C20" s="15" t="s">
        <v>65</v>
      </c>
    </row>
    <row r="21" spans="1:3">
      <c r="A21" s="15" t="s">
        <v>66</v>
      </c>
      <c r="B21" s="19">
        <f>'Blazing 7 Odds'!B15</f>
        <v>7.7797009846154452E-2</v>
      </c>
      <c r="C21" s="15" t="s">
        <v>67</v>
      </c>
    </row>
    <row r="22" spans="1:3">
      <c r="A22" s="15" t="s">
        <v>68</v>
      </c>
      <c r="B22" s="19">
        <f>'Blazing 7 Odds'!B16</f>
        <v>0.92220299015384555</v>
      </c>
      <c r="C22" s="15" t="s">
        <v>69</v>
      </c>
    </row>
    <row r="23" spans="1:3" ht="27.95" customHeight="1">
      <c r="A23" s="58" t="s">
        <v>70</v>
      </c>
      <c r="B23" s="58"/>
      <c r="C23" s="58"/>
    </row>
    <row r="24" spans="1:3" ht="27.95" customHeight="1">
      <c r="A24" s="20" t="s">
        <v>71</v>
      </c>
      <c r="B24" s="21">
        <f>SUM('Hand Log'!$Y$5:$Y$54)</f>
        <v>0</v>
      </c>
      <c r="C24" s="17" t="s">
        <v>72</v>
      </c>
    </row>
    <row r="25" spans="1:3" ht="27.95" customHeight="1">
      <c r="A25" s="20" t="s">
        <v>73</v>
      </c>
      <c r="B25" s="22">
        <f>IF(B8&gt;0,B24/B8,"")</f>
        <v>0</v>
      </c>
      <c r="C25" s="17" t="s">
        <v>74</v>
      </c>
    </row>
    <row r="26" spans="1:3" ht="27.95" customHeight="1">
      <c r="A26" s="20" t="s">
        <v>75</v>
      </c>
      <c r="B26" s="23">
        <v>4</v>
      </c>
      <c r="C26" s="17" t="s">
        <v>76</v>
      </c>
    </row>
    <row r="27" spans="1:3" ht="27.95" customHeight="1">
      <c r="A27" s="20" t="s">
        <v>77</v>
      </c>
      <c r="B27" s="24" t="str">
        <f>IF(B8&lt;=0,"Shoe exhausted",IF(B25&gt;=B26,"AT/ABOVE +4 TRIGGER","Below +4 trigger"))</f>
        <v>Below +4 trigger</v>
      </c>
      <c r="C27" s="17" t="s">
        <v>78</v>
      </c>
    </row>
    <row r="28" spans="1:3" ht="27.95" customHeight="1">
      <c r="A28" s="20" t="s">
        <v>79</v>
      </c>
      <c r="B28" s="15" t="s">
        <v>80</v>
      </c>
      <c r="C28" s="15" t="s">
        <v>81</v>
      </c>
    </row>
  </sheetData>
  <mergeCells count="1">
    <mergeCell ref="A23:C23"/>
  </mergeCells>
  <conditionalFormatting sqref="B27">
    <cfRule type="expression" dxfId="0" priority="1">
      <formula>B27="AT/ABOVE +4 TRIGGER"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1" width="27" customWidth="1"/>
    <col min="2" max="7" width="18" customWidth="1"/>
    <col min="8" max="8" width="14" customWidth="1"/>
    <col min="9" max="9" width="22" customWidth="1"/>
  </cols>
  <sheetData>
    <row r="1" spans="1:9" ht="15.75">
      <c r="A1" s="25" t="s">
        <v>82</v>
      </c>
      <c r="B1" s="25"/>
      <c r="C1" s="25"/>
      <c r="D1" s="25"/>
      <c r="E1" s="25"/>
      <c r="F1" s="25"/>
      <c r="G1" s="25"/>
      <c r="H1" s="25"/>
      <c r="I1" s="25"/>
    </row>
    <row r="2" spans="1:9" ht="36">
      <c r="A2" s="4" t="s">
        <v>83</v>
      </c>
      <c r="B2" s="4"/>
      <c r="C2" s="4"/>
      <c r="D2" s="4"/>
      <c r="E2" s="4"/>
      <c r="F2" s="4"/>
      <c r="G2" s="4"/>
      <c r="H2" s="26"/>
      <c r="I2" s="26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25.5">
      <c r="A4" s="27" t="s">
        <v>84</v>
      </c>
      <c r="B4" s="27" t="s">
        <v>85</v>
      </c>
      <c r="C4" s="27" t="s">
        <v>86</v>
      </c>
      <c r="D4" s="27" t="s">
        <v>87</v>
      </c>
      <c r="E4" s="27" t="s">
        <v>88</v>
      </c>
      <c r="F4" s="27" t="s">
        <v>89</v>
      </c>
      <c r="G4" s="27" t="s">
        <v>90</v>
      </c>
      <c r="H4" s="27" t="s">
        <v>91</v>
      </c>
      <c r="I4" s="27" t="s">
        <v>92</v>
      </c>
    </row>
    <row r="5" spans="1:9">
      <c r="A5" s="17" t="s">
        <v>12</v>
      </c>
      <c r="B5" s="17">
        <v>1</v>
      </c>
      <c r="C5" s="17">
        <v>32</v>
      </c>
      <c r="D5" s="17">
        <f>SUM('Hand Log'!$K$5:$K$54)</f>
        <v>0</v>
      </c>
      <c r="E5" s="17">
        <f t="shared" ref="E5:E17" si="0">C5-D5</f>
        <v>32</v>
      </c>
      <c r="F5" s="28">
        <f t="shared" ref="F5:F17" si="1">IFERROR(E5/C5,0)</f>
        <v>1</v>
      </c>
      <c r="G5" s="17">
        <f t="shared" ref="G5:G17" si="2">B5*D5</f>
        <v>0</v>
      </c>
      <c r="H5" s="21">
        <v>1</v>
      </c>
      <c r="I5" s="21">
        <f t="shared" ref="I5:I17" si="3">H5*D5</f>
        <v>0</v>
      </c>
    </row>
    <row r="6" spans="1:9">
      <c r="A6" s="17" t="s">
        <v>13</v>
      </c>
      <c r="B6" s="17">
        <v>1</v>
      </c>
      <c r="C6" s="17">
        <v>32</v>
      </c>
      <c r="D6" s="17">
        <f>SUM('Hand Log'!$L$5:$L$54)</f>
        <v>0</v>
      </c>
      <c r="E6" s="17">
        <f t="shared" si="0"/>
        <v>32</v>
      </c>
      <c r="F6" s="28">
        <f t="shared" si="1"/>
        <v>1</v>
      </c>
      <c r="G6" s="17">
        <f t="shared" si="2"/>
        <v>0</v>
      </c>
      <c r="H6" s="21">
        <v>0</v>
      </c>
      <c r="I6" s="21">
        <f t="shared" si="3"/>
        <v>0</v>
      </c>
    </row>
    <row r="7" spans="1:9">
      <c r="A7" s="17" t="s">
        <v>14</v>
      </c>
      <c r="B7" s="17">
        <v>1</v>
      </c>
      <c r="C7" s="17">
        <v>32</v>
      </c>
      <c r="D7" s="17">
        <f>SUM('Hand Log'!$M$5:$M$54)</f>
        <v>0</v>
      </c>
      <c r="E7" s="17">
        <f t="shared" si="0"/>
        <v>32</v>
      </c>
      <c r="F7" s="28">
        <f t="shared" si="1"/>
        <v>1</v>
      </c>
      <c r="G7" s="17">
        <f t="shared" si="2"/>
        <v>0</v>
      </c>
      <c r="H7" s="21">
        <v>-1</v>
      </c>
      <c r="I7" s="21">
        <f t="shared" si="3"/>
        <v>0</v>
      </c>
    </row>
    <row r="8" spans="1:9">
      <c r="A8" s="17" t="s">
        <v>15</v>
      </c>
      <c r="B8" s="17">
        <v>2</v>
      </c>
      <c r="C8" s="17">
        <v>32</v>
      </c>
      <c r="D8" s="17">
        <f>SUM('Hand Log'!$N$5:$N$54)</f>
        <v>0</v>
      </c>
      <c r="E8" s="17">
        <f t="shared" si="0"/>
        <v>32</v>
      </c>
      <c r="F8" s="28">
        <f t="shared" si="1"/>
        <v>1</v>
      </c>
      <c r="G8" s="17">
        <f t="shared" si="2"/>
        <v>0</v>
      </c>
      <c r="H8" s="21">
        <v>-1</v>
      </c>
      <c r="I8" s="21">
        <f t="shared" si="3"/>
        <v>0</v>
      </c>
    </row>
    <row r="9" spans="1:9">
      <c r="A9" s="17" t="s">
        <v>16</v>
      </c>
      <c r="B9" s="17">
        <v>-1</v>
      </c>
      <c r="C9" s="17">
        <v>32</v>
      </c>
      <c r="D9" s="17">
        <f>SUM('Hand Log'!$O$5:$O$54)</f>
        <v>0</v>
      </c>
      <c r="E9" s="17">
        <f t="shared" si="0"/>
        <v>32</v>
      </c>
      <c r="F9" s="28">
        <f t="shared" si="1"/>
        <v>1</v>
      </c>
      <c r="G9" s="17">
        <f t="shared" si="2"/>
        <v>0</v>
      </c>
      <c r="H9" s="21">
        <v>-1</v>
      </c>
      <c r="I9" s="21">
        <f t="shared" si="3"/>
        <v>0</v>
      </c>
    </row>
    <row r="10" spans="1:9">
      <c r="A10" s="17" t="s">
        <v>17</v>
      </c>
      <c r="B10" s="17">
        <v>-2</v>
      </c>
      <c r="C10" s="17">
        <v>32</v>
      </c>
      <c r="D10" s="17">
        <f>SUM('Hand Log'!$P$5:$P$54)</f>
        <v>0</v>
      </c>
      <c r="E10" s="17">
        <f t="shared" si="0"/>
        <v>32</v>
      </c>
      <c r="F10" s="28">
        <f t="shared" si="1"/>
        <v>1</v>
      </c>
      <c r="G10" s="17">
        <f t="shared" si="2"/>
        <v>0</v>
      </c>
      <c r="H10" s="21">
        <v>0</v>
      </c>
      <c r="I10" s="21">
        <f t="shared" si="3"/>
        <v>0</v>
      </c>
    </row>
    <row r="11" spans="1:9">
      <c r="A11" s="17" t="s">
        <v>18</v>
      </c>
      <c r="B11" s="17">
        <v>-1</v>
      </c>
      <c r="C11" s="17">
        <v>32</v>
      </c>
      <c r="D11" s="17">
        <f>SUM('Hand Log'!$Q$5:$Q$54)</f>
        <v>0</v>
      </c>
      <c r="E11" s="17">
        <f t="shared" si="0"/>
        <v>32</v>
      </c>
      <c r="F11" s="28">
        <f t="shared" si="1"/>
        <v>1</v>
      </c>
      <c r="G11" s="17">
        <f t="shared" si="2"/>
        <v>0</v>
      </c>
      <c r="H11" s="21">
        <v>-6</v>
      </c>
      <c r="I11" s="21">
        <f t="shared" si="3"/>
        <v>0</v>
      </c>
    </row>
    <row r="12" spans="1:9">
      <c r="A12" s="17" t="s">
        <v>19</v>
      </c>
      <c r="B12" s="17">
        <v>-1</v>
      </c>
      <c r="C12" s="17">
        <v>32</v>
      </c>
      <c r="D12" s="17">
        <f>SUM('Hand Log'!$R$5:$R$54)</f>
        <v>0</v>
      </c>
      <c r="E12" s="17">
        <f t="shared" si="0"/>
        <v>32</v>
      </c>
      <c r="F12" s="28">
        <f t="shared" si="1"/>
        <v>1</v>
      </c>
      <c r="G12" s="17">
        <f t="shared" si="2"/>
        <v>0</v>
      </c>
      <c r="H12" s="21">
        <v>2</v>
      </c>
      <c r="I12" s="21">
        <f t="shared" si="3"/>
        <v>0</v>
      </c>
    </row>
    <row r="13" spans="1:9">
      <c r="A13" s="17" t="s">
        <v>20</v>
      </c>
      <c r="B13" s="17">
        <v>0</v>
      </c>
      <c r="C13" s="17">
        <v>32</v>
      </c>
      <c r="D13" s="17">
        <f>SUM('Hand Log'!$S$5:$S$54)</f>
        <v>0</v>
      </c>
      <c r="E13" s="17">
        <f t="shared" si="0"/>
        <v>32</v>
      </c>
      <c r="F13" s="28">
        <f t="shared" si="1"/>
        <v>1</v>
      </c>
      <c r="G13" s="17">
        <f t="shared" si="2"/>
        <v>0</v>
      </c>
      <c r="H13" s="21">
        <v>2</v>
      </c>
      <c r="I13" s="21">
        <f t="shared" si="3"/>
        <v>0</v>
      </c>
    </row>
    <row r="14" spans="1:9">
      <c r="A14" s="17" t="s">
        <v>21</v>
      </c>
      <c r="B14" s="17">
        <v>0</v>
      </c>
      <c r="C14" s="17">
        <v>32</v>
      </c>
      <c r="D14" s="17">
        <f>SUM('Hand Log'!$T$5:$T$54)</f>
        <v>0</v>
      </c>
      <c r="E14" s="17">
        <f t="shared" si="0"/>
        <v>32</v>
      </c>
      <c r="F14" s="28">
        <f t="shared" si="1"/>
        <v>1</v>
      </c>
      <c r="G14" s="17">
        <f t="shared" si="2"/>
        <v>0</v>
      </c>
      <c r="H14" s="21">
        <v>1</v>
      </c>
      <c r="I14" s="21">
        <f t="shared" si="3"/>
        <v>0</v>
      </c>
    </row>
    <row r="15" spans="1:9">
      <c r="A15" s="17" t="s">
        <v>22</v>
      </c>
      <c r="B15" s="17">
        <v>0</v>
      </c>
      <c r="C15" s="17">
        <v>32</v>
      </c>
      <c r="D15" s="17">
        <f>SUM('Hand Log'!$U$5:$U$54)</f>
        <v>0</v>
      </c>
      <c r="E15" s="17">
        <f t="shared" si="0"/>
        <v>32</v>
      </c>
      <c r="F15" s="28">
        <f t="shared" si="1"/>
        <v>1</v>
      </c>
      <c r="G15" s="17">
        <f t="shared" si="2"/>
        <v>0</v>
      </c>
      <c r="H15" s="21">
        <v>1</v>
      </c>
      <c r="I15" s="21">
        <f t="shared" si="3"/>
        <v>0</v>
      </c>
    </row>
    <row r="16" spans="1:9">
      <c r="A16" s="17" t="s">
        <v>23</v>
      </c>
      <c r="B16" s="17">
        <v>0</v>
      </c>
      <c r="C16" s="17">
        <v>32</v>
      </c>
      <c r="D16" s="17">
        <f>SUM('Hand Log'!$V$5:$V$54)</f>
        <v>0</v>
      </c>
      <c r="E16" s="17">
        <f t="shared" si="0"/>
        <v>32</v>
      </c>
      <c r="F16" s="28">
        <f t="shared" si="1"/>
        <v>1</v>
      </c>
      <c r="G16" s="17">
        <f t="shared" si="2"/>
        <v>0</v>
      </c>
      <c r="H16" s="21">
        <v>1</v>
      </c>
      <c r="I16" s="21">
        <f t="shared" si="3"/>
        <v>0</v>
      </c>
    </row>
    <row r="17" spans="1:9">
      <c r="A17" s="17" t="s">
        <v>24</v>
      </c>
      <c r="B17" s="17">
        <v>0</v>
      </c>
      <c r="C17" s="17">
        <v>32</v>
      </c>
      <c r="D17" s="17">
        <f>SUM('Hand Log'!$W$5:$W$54)</f>
        <v>0</v>
      </c>
      <c r="E17" s="17">
        <f t="shared" si="0"/>
        <v>32</v>
      </c>
      <c r="F17" s="28">
        <f t="shared" si="1"/>
        <v>1</v>
      </c>
      <c r="G17" s="17">
        <f t="shared" si="2"/>
        <v>0</v>
      </c>
      <c r="H17" s="21">
        <v>1</v>
      </c>
      <c r="I17" s="21">
        <f t="shared" si="3"/>
        <v>0</v>
      </c>
    </row>
    <row r="18" spans="1:9">
      <c r="A18" s="17"/>
      <c r="B18" s="17"/>
      <c r="C18" s="17"/>
      <c r="D18" s="17"/>
      <c r="E18" s="17"/>
      <c r="F18" s="28"/>
      <c r="G18" s="17"/>
      <c r="H18" s="17"/>
      <c r="I18" s="17"/>
    </row>
    <row r="19" spans="1:9">
      <c r="A19" s="20" t="s">
        <v>93</v>
      </c>
      <c r="B19" s="20"/>
      <c r="C19" s="20">
        <f>SUM(C5:C17)</f>
        <v>416</v>
      </c>
      <c r="D19" s="20">
        <f>SUM(D5:D17)</f>
        <v>0</v>
      </c>
      <c r="E19" s="20">
        <f>SUM(E5:E17)</f>
        <v>416</v>
      </c>
      <c r="F19" s="29">
        <f>IFERROR(E19/C19,0)</f>
        <v>1</v>
      </c>
      <c r="G19" s="20">
        <f>SUM(G5:G17)</f>
        <v>0</v>
      </c>
      <c r="H19" s="17"/>
      <c r="I19" s="17"/>
    </row>
    <row r="20" spans="1:9">
      <c r="A20" s="17"/>
      <c r="B20" s="17"/>
      <c r="C20" s="17"/>
      <c r="D20" s="17"/>
      <c r="E20" s="17"/>
      <c r="F20" s="17"/>
      <c r="G20" s="17"/>
      <c r="H20" s="17"/>
      <c r="I20" s="17"/>
    </row>
    <row r="21" spans="1:9">
      <c r="A21" s="17" t="s">
        <v>47</v>
      </c>
      <c r="B21" s="17">
        <f>D11</f>
        <v>0</v>
      </c>
      <c r="C21" s="2"/>
      <c r="D21" s="2"/>
      <c r="E21" s="2"/>
      <c r="F21" s="2"/>
      <c r="G21" s="2"/>
      <c r="H21" s="2"/>
      <c r="I21" s="2"/>
    </row>
    <row r="22" spans="1:9">
      <c r="A22" s="17" t="s">
        <v>49</v>
      </c>
      <c r="B22" s="17">
        <f>E11</f>
        <v>32</v>
      </c>
      <c r="C22" s="2"/>
      <c r="D22" s="2"/>
      <c r="E22" s="2"/>
      <c r="F22" s="2"/>
      <c r="G22" s="2"/>
      <c r="H22" s="2"/>
      <c r="I22" s="2"/>
    </row>
    <row r="23" spans="1:9">
      <c r="A23" s="17" t="s">
        <v>94</v>
      </c>
      <c r="B23" s="28">
        <f>IFERROR(B22/C11,0)</f>
        <v>1</v>
      </c>
      <c r="C23" s="2"/>
      <c r="D23" s="2"/>
      <c r="E23" s="2"/>
      <c r="F23" s="2"/>
      <c r="G23" s="2"/>
      <c r="H23" s="2"/>
      <c r="I23" s="2"/>
    </row>
    <row r="24" spans="1:9">
      <c r="A24" s="17"/>
      <c r="B24" s="17"/>
      <c r="C24" s="2"/>
      <c r="D24" s="2"/>
      <c r="E24" s="2"/>
      <c r="F24" s="2"/>
      <c r="G24" s="2"/>
      <c r="H24" s="2"/>
      <c r="I24" s="2"/>
    </row>
    <row r="25" spans="1:9" ht="51">
      <c r="A25" s="24" t="s">
        <v>95</v>
      </c>
      <c r="B25" s="15" t="s">
        <v>96</v>
      </c>
      <c r="C25" s="2"/>
      <c r="D25" s="2"/>
      <c r="E25" s="2"/>
      <c r="F25" s="2"/>
      <c r="G25" s="2"/>
      <c r="H25" s="2"/>
      <c r="I25" s="2"/>
    </row>
    <row r="26" spans="1:9" ht="38.25">
      <c r="A26" s="24" t="s">
        <v>97</v>
      </c>
      <c r="B26" s="15" t="s">
        <v>98</v>
      </c>
      <c r="C26" s="2"/>
      <c r="D26" s="2"/>
      <c r="E26" s="2"/>
      <c r="F26" s="2"/>
      <c r="G26" s="2"/>
      <c r="H26" s="2"/>
      <c r="I26" s="2"/>
    </row>
    <row r="27" spans="1:9">
      <c r="A27" s="24" t="s">
        <v>99</v>
      </c>
      <c r="B27" s="24" t="str">
        <f>IF(OR(D19&gt;'Rules &amp; Notes'!$B$4,MIN(E5:E17)&lt;0),"CHECK INPUTS","OK")</f>
        <v>OK</v>
      </c>
      <c r="C27" s="2"/>
      <c r="D27" s="2"/>
      <c r="E27" s="2"/>
      <c r="F27" s="2"/>
      <c r="G27" s="2"/>
      <c r="H27" s="2"/>
      <c r="I2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3"/>
  <sheetViews>
    <sheetView topLeftCell="A17" workbookViewId="0">
      <selection activeCell="A34" sqref="A34:XFD34"/>
    </sheetView>
  </sheetViews>
  <sheetFormatPr defaultRowHeight="14.25"/>
  <cols>
    <col min="1" max="1" width="31" customWidth="1"/>
    <col min="2" max="2" width="74" customWidth="1"/>
  </cols>
  <sheetData>
    <row r="1" spans="1:2" ht="31.5">
      <c r="A1" s="30" t="s">
        <v>100</v>
      </c>
      <c r="B1" s="30"/>
    </row>
    <row r="2" spans="1:2">
      <c r="A2" s="24" t="s">
        <v>101</v>
      </c>
      <c r="B2" s="15">
        <v>8</v>
      </c>
    </row>
    <row r="3" spans="1:2">
      <c r="A3" s="24" t="s">
        <v>102</v>
      </c>
      <c r="B3" s="15">
        <v>52</v>
      </c>
    </row>
    <row r="4" spans="1:2">
      <c r="A4" s="24" t="s">
        <v>103</v>
      </c>
      <c r="B4" s="24">
        <f>B2*B3</f>
        <v>416</v>
      </c>
    </row>
    <row r="5" spans="1:2">
      <c r="A5" s="24" t="s">
        <v>104</v>
      </c>
      <c r="B5" s="15">
        <v>1</v>
      </c>
    </row>
    <row r="6" spans="1:2">
      <c r="A6" s="24" t="s">
        <v>105</v>
      </c>
      <c r="B6" s="15">
        <v>2</v>
      </c>
    </row>
    <row r="7" spans="1:2">
      <c r="A7" s="24" t="s">
        <v>106</v>
      </c>
      <c r="B7" s="15">
        <v>-1</v>
      </c>
    </row>
    <row r="8" spans="1:2">
      <c r="A8" s="24" t="s">
        <v>107</v>
      </c>
      <c r="B8" s="15">
        <v>-2</v>
      </c>
    </row>
    <row r="9" spans="1:2">
      <c r="A9" s="24" t="s">
        <v>108</v>
      </c>
      <c r="B9" s="15">
        <v>0</v>
      </c>
    </row>
    <row r="10" spans="1:2">
      <c r="A10" s="24" t="s">
        <v>109</v>
      </c>
      <c r="B10" s="15" t="s">
        <v>46</v>
      </c>
    </row>
    <row r="11" spans="1:2" ht="25.5">
      <c r="A11" s="24" t="s">
        <v>110</v>
      </c>
      <c r="B11" s="15" t="s">
        <v>111</v>
      </c>
    </row>
    <row r="12" spans="1:2">
      <c r="A12" s="24"/>
      <c r="B12" s="15"/>
    </row>
    <row r="13" spans="1:2" ht="25.5">
      <c r="A13" s="24" t="s">
        <v>112</v>
      </c>
      <c r="B13" s="15" t="s">
        <v>162</v>
      </c>
    </row>
    <row r="14" spans="1:2">
      <c r="A14" s="24" t="s">
        <v>43</v>
      </c>
      <c r="B14" s="15" t="s">
        <v>113</v>
      </c>
    </row>
    <row r="15" spans="1:2">
      <c r="A15" s="24" t="s">
        <v>39</v>
      </c>
      <c r="B15" s="15" t="s">
        <v>114</v>
      </c>
    </row>
    <row r="16" spans="1:2" ht="25.5">
      <c r="A16" s="24" t="s">
        <v>115</v>
      </c>
      <c r="B16" s="15" t="s">
        <v>116</v>
      </c>
    </row>
    <row r="17" spans="1:2" ht="25.5">
      <c r="A17" s="24" t="s">
        <v>117</v>
      </c>
      <c r="B17" s="15" t="s">
        <v>118</v>
      </c>
    </row>
    <row r="18" spans="1:2" ht="33.950000000000003" customHeight="1">
      <c r="A18" s="24" t="s">
        <v>119</v>
      </c>
      <c r="B18" s="15" t="s">
        <v>120</v>
      </c>
    </row>
    <row r="19" spans="1:2" ht="33.950000000000003" customHeight="1">
      <c r="A19" s="24" t="s">
        <v>121</v>
      </c>
      <c r="B19" s="15" t="s">
        <v>122</v>
      </c>
    </row>
    <row r="20" spans="1:2" ht="26.1" customHeight="1">
      <c r="A20" s="18" t="s">
        <v>123</v>
      </c>
      <c r="B20" s="18"/>
    </row>
    <row r="21" spans="1:2" ht="26.1" customHeight="1">
      <c r="A21" s="24" t="s">
        <v>124</v>
      </c>
      <c r="B21" s="15">
        <v>1</v>
      </c>
    </row>
    <row r="22" spans="1:2" ht="26.1" customHeight="1">
      <c r="A22" s="24" t="s">
        <v>13</v>
      </c>
      <c r="B22" s="15">
        <v>0</v>
      </c>
    </row>
    <row r="23" spans="1:2" ht="26.1" customHeight="1">
      <c r="A23" s="24" t="s">
        <v>14</v>
      </c>
      <c r="B23" s="15">
        <v>-1</v>
      </c>
    </row>
    <row r="24" spans="1:2" ht="26.1" customHeight="1">
      <c r="A24" s="24" t="s">
        <v>15</v>
      </c>
      <c r="B24" s="15">
        <v>-1</v>
      </c>
    </row>
    <row r="25" spans="1:2" ht="26.1" customHeight="1">
      <c r="A25" s="24" t="s">
        <v>16</v>
      </c>
      <c r="B25" s="15">
        <v>-1</v>
      </c>
    </row>
    <row r="26" spans="1:2" ht="26.1" customHeight="1">
      <c r="A26" s="24" t="s">
        <v>17</v>
      </c>
      <c r="B26" s="15">
        <v>0</v>
      </c>
    </row>
    <row r="27" spans="1:2" ht="26.1" customHeight="1">
      <c r="A27" s="24" t="s">
        <v>18</v>
      </c>
      <c r="B27" s="15">
        <v>-6</v>
      </c>
    </row>
    <row r="28" spans="1:2" ht="26.1" customHeight="1">
      <c r="A28" s="24" t="s">
        <v>19</v>
      </c>
      <c r="B28" s="15">
        <v>2</v>
      </c>
    </row>
    <row r="29" spans="1:2" ht="26.1" customHeight="1">
      <c r="A29" s="24" t="s">
        <v>20</v>
      </c>
      <c r="B29" s="15">
        <v>2</v>
      </c>
    </row>
    <row r="30" spans="1:2" ht="26.1" customHeight="1">
      <c r="A30" s="24" t="s">
        <v>125</v>
      </c>
      <c r="B30" s="15">
        <v>1</v>
      </c>
    </row>
    <row r="31" spans="1:2" ht="26.1" customHeight="1">
      <c r="A31" s="24" t="s">
        <v>126</v>
      </c>
      <c r="B31" s="15" t="s">
        <v>127</v>
      </c>
    </row>
    <row r="32" spans="1:2" ht="26.1" customHeight="1">
      <c r="A32" s="24" t="s">
        <v>128</v>
      </c>
      <c r="B32" s="15" t="s">
        <v>129</v>
      </c>
    </row>
    <row r="33" spans="1:2" ht="26.1" customHeight="1">
      <c r="A33" s="24" t="s">
        <v>130</v>
      </c>
      <c r="B33" s="15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workbookViewId="0">
      <pane ySplit="4" topLeftCell="A5" activePane="bottomLeft" state="frozen"/>
      <selection pane="bottomLeft" sqref="A1:F1"/>
    </sheetView>
  </sheetViews>
  <sheetFormatPr defaultRowHeight="14.25"/>
  <cols>
    <col min="1" max="1" width="39" customWidth="1"/>
    <col min="2" max="2" width="16" customWidth="1"/>
    <col min="3" max="3" width="24" customWidth="1"/>
    <col min="4" max="4" width="14" customWidth="1"/>
    <col min="5" max="5" width="16" customWidth="1"/>
    <col min="6" max="6" width="24" customWidth="1"/>
  </cols>
  <sheetData>
    <row r="1" spans="1:6" ht="27.95" customHeight="1">
      <c r="A1" s="61" t="s">
        <v>132</v>
      </c>
      <c r="B1" s="61"/>
      <c r="C1" s="61"/>
      <c r="D1" s="61"/>
      <c r="E1" s="61"/>
      <c r="F1" s="61"/>
    </row>
    <row r="2" spans="1:6" ht="32.1" customHeight="1">
      <c r="A2" s="55" t="s">
        <v>133</v>
      </c>
      <c r="B2" s="55"/>
      <c r="C2" s="55"/>
      <c r="D2" s="55"/>
      <c r="E2" s="55"/>
      <c r="F2" s="55"/>
    </row>
    <row r="3" spans="1:6">
      <c r="A3" s="2"/>
      <c r="B3" s="2"/>
      <c r="C3" s="2"/>
      <c r="D3" s="2"/>
      <c r="E3" s="2"/>
      <c r="F3" s="2"/>
    </row>
    <row r="4" spans="1:6" ht="32.1" customHeight="1">
      <c r="A4" s="42" t="s">
        <v>134</v>
      </c>
      <c r="B4" s="42" t="s">
        <v>135</v>
      </c>
      <c r="C4" s="42" t="s">
        <v>136</v>
      </c>
      <c r="D4" s="42" t="s">
        <v>137</v>
      </c>
      <c r="E4" s="42" t="s">
        <v>138</v>
      </c>
      <c r="F4" s="42" t="s">
        <v>139</v>
      </c>
    </row>
    <row r="5" spans="1:6">
      <c r="A5" s="15" t="s">
        <v>140</v>
      </c>
      <c r="B5" s="31">
        <v>200</v>
      </c>
      <c r="C5" s="32">
        <v>11556012525568</v>
      </c>
      <c r="D5" s="33">
        <f>C5/$C$8</f>
        <v>2.3119431243010065E-3</v>
      </c>
      <c r="E5" s="34">
        <f>1/D5</f>
        <v>432.5365920506112</v>
      </c>
      <c r="F5" s="35">
        <f>D5*B5</f>
        <v>0.46238862486020127</v>
      </c>
    </row>
    <row r="6" spans="1:6">
      <c r="A6" s="15" t="s">
        <v>141</v>
      </c>
      <c r="B6" s="31">
        <v>50</v>
      </c>
      <c r="C6" s="32">
        <v>44838810157056</v>
      </c>
      <c r="D6" s="33">
        <f>C6/$C$8</f>
        <v>8.9706357288106536E-3</v>
      </c>
      <c r="E6" s="34">
        <f>1/D6</f>
        <v>111.47481964832633</v>
      </c>
      <c r="F6" s="35">
        <f>D6*B6</f>
        <v>0.44853178644053265</v>
      </c>
    </row>
    <row r="7" spans="1:6">
      <c r="A7" s="15" t="s">
        <v>142</v>
      </c>
      <c r="B7" s="31">
        <v>-1</v>
      </c>
      <c r="C7" s="32">
        <v>4942003452820736</v>
      </c>
      <c r="D7" s="33">
        <f>C7/$C$8</f>
        <v>0.98871742114688832</v>
      </c>
      <c r="E7" s="34">
        <f>1/D7</f>
        <v>1.0114113280617876</v>
      </c>
      <c r="F7" s="35">
        <f>D7*B7</f>
        <v>-0.98871742114688832</v>
      </c>
    </row>
    <row r="8" spans="1:6">
      <c r="A8" s="24" t="s">
        <v>143</v>
      </c>
      <c r="B8" s="24"/>
      <c r="C8" s="36">
        <f>SUM(C5:C7)</f>
        <v>4998398275503360</v>
      </c>
      <c r="D8" s="37">
        <f>SUM(D5:D7)</f>
        <v>1</v>
      </c>
      <c r="E8" s="24"/>
      <c r="F8" s="38">
        <f>SUM(F5:F7)</f>
        <v>-7.7797009846154452E-2</v>
      </c>
    </row>
    <row r="9" spans="1:6">
      <c r="A9" s="3"/>
      <c r="B9" s="3"/>
      <c r="C9" s="3"/>
      <c r="D9" s="3"/>
      <c r="E9" s="3"/>
      <c r="F9" s="3"/>
    </row>
    <row r="10" spans="1:6" ht="21.95" customHeight="1">
      <c r="A10" s="62" t="s">
        <v>144</v>
      </c>
      <c r="B10" s="62"/>
      <c r="C10" s="62"/>
      <c r="D10" s="62"/>
      <c r="E10" s="62"/>
      <c r="F10" s="62"/>
    </row>
    <row r="11" spans="1:6">
      <c r="A11" s="24" t="s">
        <v>145</v>
      </c>
      <c r="B11" s="37">
        <f>D5</f>
        <v>2.3119431243010065E-3</v>
      </c>
      <c r="C11" s="59" t="s">
        <v>146</v>
      </c>
      <c r="D11" s="59"/>
      <c r="E11" s="59"/>
      <c r="F11" s="59"/>
    </row>
    <row r="12" spans="1:6">
      <c r="A12" s="24" t="s">
        <v>147</v>
      </c>
      <c r="B12" s="37">
        <f>D6</f>
        <v>8.9706357288106536E-3</v>
      </c>
      <c r="C12" s="59" t="s">
        <v>148</v>
      </c>
      <c r="D12" s="59"/>
      <c r="E12" s="59"/>
      <c r="F12" s="59"/>
    </row>
    <row r="13" spans="1:6">
      <c r="A13" s="24" t="s">
        <v>149</v>
      </c>
      <c r="B13" s="37">
        <f>D5+D6</f>
        <v>1.1282578853111659E-2</v>
      </c>
      <c r="C13" s="59" t="s">
        <v>150</v>
      </c>
      <c r="D13" s="59"/>
      <c r="E13" s="59"/>
      <c r="F13" s="59"/>
    </row>
    <row r="14" spans="1:6">
      <c r="A14" s="24" t="s">
        <v>151</v>
      </c>
      <c r="B14" s="39">
        <f>1/(D5+D6)</f>
        <v>88.632219018279386</v>
      </c>
      <c r="C14" s="59" t="s">
        <v>152</v>
      </c>
      <c r="D14" s="59"/>
      <c r="E14" s="59"/>
      <c r="F14" s="59"/>
    </row>
    <row r="15" spans="1:6">
      <c r="A15" s="24" t="s">
        <v>153</v>
      </c>
      <c r="B15" s="40">
        <f>-F8</f>
        <v>7.7797009846154452E-2</v>
      </c>
      <c r="C15" s="59" t="s">
        <v>154</v>
      </c>
      <c r="D15" s="59"/>
      <c r="E15" s="59"/>
      <c r="F15" s="59"/>
    </row>
    <row r="16" spans="1:6">
      <c r="A16" s="24" t="s">
        <v>68</v>
      </c>
      <c r="B16" s="40">
        <f>1+F8</f>
        <v>0.92220299015384555</v>
      </c>
      <c r="C16" s="59" t="s">
        <v>155</v>
      </c>
      <c r="D16" s="59"/>
      <c r="E16" s="59"/>
      <c r="F16" s="59"/>
    </row>
    <row r="17" spans="1:6">
      <c r="A17" s="3"/>
      <c r="B17" s="3"/>
      <c r="C17" s="3"/>
      <c r="D17" s="3"/>
      <c r="E17" s="3"/>
      <c r="F17" s="3"/>
    </row>
    <row r="18" spans="1:6">
      <c r="A18" s="60"/>
      <c r="B18" s="60"/>
      <c r="C18" s="60"/>
      <c r="D18" s="60"/>
      <c r="E18" s="60"/>
      <c r="F18" s="60"/>
    </row>
  </sheetData>
  <mergeCells count="10">
    <mergeCell ref="A1:F1"/>
    <mergeCell ref="A2:F2"/>
    <mergeCell ref="A10:F10"/>
    <mergeCell ref="C11:F11"/>
    <mergeCell ref="C12:F12"/>
    <mergeCell ref="C13:F13"/>
    <mergeCell ref="C14:F14"/>
    <mergeCell ref="C15:F15"/>
    <mergeCell ref="C16:F16"/>
    <mergeCell ref="A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Hand Log</vt:lpstr>
      <vt:lpstr>Dashboard</vt:lpstr>
      <vt:lpstr>Remaining Cards</vt:lpstr>
      <vt:lpstr>Rules &amp; Notes</vt:lpstr>
      <vt:lpstr>Blazing 7 Odds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Hons Graewe</cp:lastModifiedBy>
  <dcterms:modified xsi:type="dcterms:W3CDTF">2026-10-24T10:06:02Z</dcterms:modified>
</cp:coreProperties>
</file>